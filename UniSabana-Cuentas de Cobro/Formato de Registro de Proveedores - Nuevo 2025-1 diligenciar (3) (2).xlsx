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Proveedor" sheetId="1" r:id="rId5"/>
  </sheets>
  <definedNames/>
  <calcPr/>
</workbook>
</file>

<file path=xl/sharedStrings.xml><?xml version="1.0" encoding="utf-8"?>
<sst xmlns="http://schemas.openxmlformats.org/spreadsheetml/2006/main" count="134" uniqueCount="110">
  <si>
    <t>REGISTRO DE PROVEEDOR</t>
  </si>
  <si>
    <t>ADQUISICIONES</t>
  </si>
  <si>
    <t>Primera Vez</t>
  </si>
  <si>
    <t>Actualización</t>
  </si>
  <si>
    <t>DD</t>
  </si>
  <si>
    <t>MM</t>
  </si>
  <si>
    <t>AAAA</t>
  </si>
  <si>
    <t>1. FECHA DE DILIGENCIAMIENTO</t>
  </si>
  <si>
    <t>FECHA DE CREACIÓN</t>
  </si>
  <si>
    <t>21/10/2024</t>
  </si>
  <si>
    <t>2. INFORMACIÓN GENERAL</t>
  </si>
  <si>
    <t>2.1. Nombre o razón social:</t>
  </si>
  <si>
    <t>Ricardo Alberto Reyes Jiménez</t>
  </si>
  <si>
    <t>2.2. Nit</t>
  </si>
  <si>
    <t>Cédula ciudadanía</t>
  </si>
  <si>
    <t>X</t>
  </si>
  <si>
    <t>Cédula extranjería</t>
  </si>
  <si>
    <t xml:space="preserve">Pasaporte </t>
  </si>
  <si>
    <t xml:space="preserve">No. </t>
  </si>
  <si>
    <t>Digito verificación</t>
  </si>
  <si>
    <t>2.3. Dirección de correspondencia:</t>
  </si>
  <si>
    <t>CL1#14A13AP402</t>
  </si>
  <si>
    <t>2.4. Departamento:</t>
  </si>
  <si>
    <t>Cundinamarca</t>
  </si>
  <si>
    <t xml:space="preserve">2.5. Municipio: </t>
  </si>
  <si>
    <t>Zipaquirá</t>
  </si>
  <si>
    <t>2.6. Nombre de la persona contacto:</t>
  </si>
  <si>
    <t>Diana Cristina Angarita Rodríguez</t>
  </si>
  <si>
    <t>2.7. Productos y/o servicios:</t>
  </si>
  <si>
    <t>Consultoría, enseñanza, en Inteligencia Artificial</t>
  </si>
  <si>
    <t>2.8. Teléfono fijo:</t>
  </si>
  <si>
    <t>2.9. Celular:</t>
  </si>
  <si>
    <t>2.10. Correo electrónico:</t>
  </si>
  <si>
    <t>rareyesj@gmail.com</t>
  </si>
  <si>
    <t>3. INFORMACIÓN FISCAL</t>
  </si>
  <si>
    <t>3.1. Información fiscal para efectos de impuestos nacionales</t>
  </si>
  <si>
    <t>3.1.1. Impuestos de renta</t>
  </si>
  <si>
    <t>Contribuyente</t>
  </si>
  <si>
    <t>No contribuyente</t>
  </si>
  <si>
    <t>Régimen especial</t>
  </si>
  <si>
    <t xml:space="preserve">Otro </t>
  </si>
  <si>
    <t>¿Cuál?</t>
  </si>
  <si>
    <t>3.1.2. Impuesto sobre las ventas</t>
  </si>
  <si>
    <t>Régimen común</t>
  </si>
  <si>
    <t>Régimen simplificado</t>
  </si>
  <si>
    <t>No responsable</t>
  </si>
  <si>
    <t>3.1.3. Otros datos importantes</t>
  </si>
  <si>
    <t>Agente de retención</t>
  </si>
  <si>
    <t>Si</t>
  </si>
  <si>
    <t>No</t>
  </si>
  <si>
    <t>Gran contribuyente</t>
  </si>
  <si>
    <t>Resolución No.</t>
  </si>
  <si>
    <t>Fecha</t>
  </si>
  <si>
    <t>Autorretenedor</t>
  </si>
  <si>
    <t>Entidad del estado</t>
  </si>
  <si>
    <t>Entidad sin ánimo de luco</t>
  </si>
  <si>
    <t>3.2. Información fiscal para efectos de impuestos municipales</t>
  </si>
  <si>
    <t>3.2.1. Responsable de impuesto de Industria y Comercio en Bogotá</t>
  </si>
  <si>
    <t>Tarifa</t>
  </si>
  <si>
    <t>Código actividad CIIU</t>
  </si>
  <si>
    <t>4. REFERENCIAS COMERCIALES</t>
  </si>
  <si>
    <t>Entidad</t>
  </si>
  <si>
    <t>Persona Contacto</t>
  </si>
  <si>
    <t>Dirección</t>
  </si>
  <si>
    <t>Ciudad</t>
  </si>
  <si>
    <t>Teléfonos</t>
  </si>
  <si>
    <t>Universidad de la Sabana</t>
  </si>
  <si>
    <t>Diana Angarita</t>
  </si>
  <si>
    <t>U. Sabana, puente del común</t>
  </si>
  <si>
    <t>Chía</t>
  </si>
  <si>
    <t>5. ENTIDAD FINANCIERA A TRAVÉS DE LA CUAL SE REALIZARÁ EL PAGO</t>
  </si>
  <si>
    <t>5.1. Entidad financiera:</t>
  </si>
  <si>
    <t>BanColombia</t>
  </si>
  <si>
    <t>5.2. Cuenta bancaria No.:</t>
  </si>
  <si>
    <t>5.3. Tipo de cuenta:</t>
  </si>
  <si>
    <t>Ahorros</t>
  </si>
  <si>
    <t>5.4. Titular de la cuenta:</t>
  </si>
  <si>
    <t>Nota: El nombre del titular o beneficiario de la cuenta debe ser el consignado en el numeral 2.1. de este formato.</t>
  </si>
  <si>
    <t>DPL-804</t>
  </si>
  <si>
    <t>ADQ-001/1</t>
  </si>
  <si>
    <t xml:space="preserve">UNIVERSIDAD DE LA SABANA - Registro Proveedor </t>
  </si>
  <si>
    <t>Hoja No. 2</t>
  </si>
  <si>
    <t>6. DOCUMENTOS PARA ANEXAR</t>
  </si>
  <si>
    <r>
      <rPr>
        <rFont val="Arial"/>
        <b/>
        <color theme="1"/>
        <sz val="8.0"/>
      </rPr>
      <t xml:space="preserve">Para personas jurídicas:
</t>
    </r>
    <r>
      <rPr>
        <rFont val="Arial"/>
        <b val="0"/>
        <color theme="1"/>
        <sz val="8.0"/>
      </rPr>
      <t>•	Copia del RUT (Registro Único Tributario).
•	Certificado de existencia y representación legal (con expedición no mayor a 90 días).
•	Copia de la cédula de ciudadanía del representante legal.
•	Certificación bancaria. 
•	Resultado de verificación de información legal. 
•	Dos referencias comerciales
•	Verificación de listas restrictivas
•	Formato SARLAFT
•	Validación conflicto de intereses</t>
    </r>
    <r>
      <rPr>
        <rFont val="Arial"/>
        <b/>
        <color theme="1"/>
        <sz val="8.0"/>
      </rPr>
      <t xml:space="preserve">
Para personas naturales: 
</t>
    </r>
    <r>
      <rPr>
        <rFont val="Arial"/>
        <b val="0"/>
        <color theme="1"/>
        <sz val="8.0"/>
      </rPr>
      <t>•	Copia del RUT (Registro Único Tributario)
•	Copia de la cédula ampliada al 150%.
•	Certificación bancaria. 
•	Dos referencias comerciales
•	Verificación de listas restrictivas
•	Formato SARLAFT
•	Validación conflicto de intereses</t>
    </r>
    <r>
      <rPr>
        <rFont val="Arial"/>
        <b/>
        <color theme="1"/>
        <sz val="8.0"/>
      </rPr>
      <t xml:space="preserve">
</t>
    </r>
    <r>
      <rPr>
        <rFont val="Arial"/>
        <b/>
        <color theme="1"/>
        <sz val="8.0"/>
        <u/>
      </rPr>
      <t>Según tipo de adquisición:</t>
    </r>
    <r>
      <rPr>
        <rFont val="Arial"/>
        <b/>
        <color theme="1"/>
        <sz val="8.0"/>
      </rPr>
      <t xml:space="preserve">
</t>
    </r>
    <r>
      <rPr>
        <rFont val="Arial"/>
        <b/>
        <i/>
        <color theme="1"/>
        <sz val="8.0"/>
      </rPr>
      <t>Alimentos y bebidas:</t>
    </r>
    <r>
      <rPr>
        <rFont val="Arial"/>
        <b/>
        <color theme="1"/>
        <sz val="8.0"/>
      </rPr>
      <t xml:space="preserve">
</t>
    </r>
    <r>
      <rPr>
        <rFont val="Arial"/>
        <b val="0"/>
        <color theme="1"/>
        <sz val="8.0"/>
      </rPr>
      <t>•	Registro Sanitario de INVIMA 
•	Copia del carné de manipulación del transportador 
•	Copia de la última revisión técnico-mecánica del vehículo de transporte 
•	Concepto sanitario de la secretaría de salud 
•	Análisis microbiológicos con vigencia a 1 año como mínimo
•	Certificación de empaques</t>
    </r>
    <r>
      <rPr>
        <rFont val="Arial"/>
        <b/>
        <color theme="1"/>
        <sz val="8.0"/>
      </rPr>
      <t xml:space="preserve">
</t>
    </r>
    <r>
      <rPr>
        <rFont val="Arial"/>
        <b/>
        <i/>
        <color theme="1"/>
        <sz val="8.0"/>
      </rPr>
      <t>Equipos:</t>
    </r>
    <r>
      <rPr>
        <rFont val="Arial"/>
        <b/>
        <color theme="1"/>
        <sz val="8.0"/>
      </rPr>
      <t xml:space="preserve">
</t>
    </r>
    <r>
      <rPr>
        <rFont val="Arial"/>
        <b val="0"/>
        <color theme="1"/>
        <sz val="8.0"/>
      </rPr>
      <t>•	Certificación de representación en Colombia vigente.</t>
    </r>
    <r>
      <rPr>
        <rFont val="Arial"/>
        <b/>
        <color theme="1"/>
        <sz val="8.0"/>
      </rPr>
      <t xml:space="preserve">		
</t>
    </r>
    <r>
      <rPr>
        <rFont val="Arial"/>
        <b/>
        <i/>
        <color theme="1"/>
        <sz val="8.0"/>
      </rPr>
      <t>Medicamentos o material quirúrgico:</t>
    </r>
    <r>
      <rPr>
        <rFont val="Arial"/>
        <b/>
        <color theme="1"/>
        <sz val="8.0"/>
      </rPr>
      <t xml:space="preserve">
</t>
    </r>
    <r>
      <rPr>
        <rFont val="Arial"/>
        <b val="0"/>
        <color theme="1"/>
        <sz val="8.0"/>
      </rPr>
      <t xml:space="preserve">•	Registro Sanitario de INVIMA. Ficha Técnica y de Seguridad de los Productos	
•	BPM (Certificado de Buenas Prácticas Manufactura)
•	Carta de autorización de distribución, si corresponde </t>
    </r>
    <r>
      <rPr>
        <rFont val="Arial"/>
        <b/>
        <color theme="1"/>
        <sz val="8.0"/>
      </rPr>
      <t xml:space="preserve">
</t>
    </r>
    <r>
      <rPr>
        <rFont val="Arial"/>
        <b/>
        <i/>
        <color theme="1"/>
        <sz val="8.0"/>
      </rPr>
      <t>Mantenimiento o servicios de calibración:</t>
    </r>
    <r>
      <rPr>
        <rFont val="Arial"/>
        <b/>
        <color theme="1"/>
        <sz val="8.0"/>
      </rPr>
      <t xml:space="preserve">
</t>
    </r>
    <r>
      <rPr>
        <rFont val="Arial"/>
        <b val="0"/>
        <color theme="1"/>
        <sz val="8.0"/>
      </rPr>
      <t>•	Títulos y Certificados de formación y entrenamiento emitidos por entidades reconocidas.
•	Certificación del laboratorio con certificación por la ONAC</t>
    </r>
    <r>
      <rPr>
        <rFont val="Arial"/>
        <b/>
        <color theme="1"/>
        <sz val="8.0"/>
      </rPr>
      <t xml:space="preserve">
</t>
    </r>
    <r>
      <rPr>
        <rFont val="Arial"/>
        <b/>
        <i/>
        <color theme="1"/>
        <sz val="8.0"/>
      </rPr>
      <t>Aseo y limpieza:</t>
    </r>
    <r>
      <rPr>
        <rFont val="Arial"/>
        <b/>
        <color theme="1"/>
        <sz val="8.0"/>
      </rPr>
      <t xml:space="preserve">
</t>
    </r>
    <r>
      <rPr>
        <rFont val="Arial"/>
        <b val="0"/>
        <color theme="1"/>
        <sz val="8.0"/>
      </rPr>
      <t xml:space="preserve">•	Registro Sanitario de INVIMA y Fichas Técnicas y de seguridad de los Productos.
</t>
    </r>
    <r>
      <rPr>
        <rFont val="Arial"/>
        <b/>
        <i/>
        <color theme="1"/>
        <sz val="8.0"/>
      </rPr>
      <t>Sustancias químicas controladas por estupefacientes:</t>
    </r>
    <r>
      <rPr>
        <rFont val="Arial"/>
        <b val="0"/>
        <color theme="1"/>
        <sz val="8.0"/>
      </rPr>
      <t xml:space="preserve">
•	Fichas Técnicas y de seguridad de los Productos.
•	Certificado de carencia de informe por tráfico de estupefacientes (CCITE)</t>
    </r>
  </si>
  <si>
    <t>Protección de datos:</t>
  </si>
  <si>
    <r>
      <rPr>
        <rFont val="Arial"/>
        <color theme="1"/>
        <sz val="7.0"/>
      </rPr>
      <t xml:space="preserve">En cumplimiento de la Ley 1581 de 2012 y el Decreto Reglamentario 1377 del 27 de Junio de 2013,  la Universidad de La Sabana requiere de su autorización para incluir la información  reportada a través del presente documento en las bases de datos y archivos Institucionales.
Los datos recogidos a través del presente instrumento serán utilizados para mantener los lazos con los miembros de la comunidad universitaria,  con las comunidades con las que se relaciona de manera cercana, y para el ejercicio de su objeto social.
Dando cumplimiento al literal b del artículo 12  de la Ley 1581 de 2012 (*1) usted está facultado para  negar  la inclusión de datos sensibles o datos sobre niñas, niños y adolescentes.
Usted como titular de la información podrá actualizar, rectificar y conocer acerca del uso que se le ha dado a sus datos personales en cualquier momento, solicitar prueba de la autorización otorgada, o revocar la autorización de inclusión de estas informaciones, si considera que no están siendo respetados sus derechos y garantías constitucionales.
Para cualquier efecto y en cualquier momento, diríjase a la página principal de la Universidad de La Sabana www.unisabana.edu.co y diligencie el formulario de contáctenos o comuníquese con el Contac center 8615555 – 8616666. 
__________________________________
 (*1).       </t>
    </r>
    <r>
      <rPr>
        <rFont val="Arial"/>
        <i/>
        <color theme="1"/>
        <sz val="7.0"/>
      </rPr>
      <t xml:space="preserve"> </t>
    </r>
    <r>
      <rPr>
        <rFont val="Arial"/>
        <color theme="1"/>
        <sz val="7.0"/>
      </rPr>
      <t>Literal b del artículo 12  de la Ley 1581 de 2012: El responsable del Tratamiento, al momento de solicitar al Titular la autorización, deberá informarle de manera clara y expresa lo siguiente: (..) b) El carácter facultativo de la respuesta a las preguntas que le sean hechas, cuando estas versen sobre datos sensibles o sobre datos de las niñas, niños y adolescentes.</t>
    </r>
  </si>
  <si>
    <r>
      <rPr>
        <rFont val="Arial"/>
        <b/>
        <color theme="1"/>
        <sz val="8.0"/>
      </rPr>
      <t xml:space="preserve">7. CALIFICACIÓN DEL PROVEEDOR </t>
    </r>
    <r>
      <rPr>
        <rFont val="Arial"/>
        <b/>
        <i/>
        <color theme="1"/>
        <sz val="8.0"/>
      </rPr>
      <t>(ESPACIO EXCLUSIVO UNIVERSIDAD DE LA SABANA)</t>
    </r>
  </si>
  <si>
    <t>7.1. Califique al proveedor de acuerdo con los criterios de selección de proveedores y las definiciones que se indican en el Manual de Adquisición de Bienes y Servicios. Por favor marque con una "X":</t>
  </si>
  <si>
    <t>Criterios a calificar</t>
  </si>
  <si>
    <t>Peso
Criterio</t>
  </si>
  <si>
    <t>Excelente          (5 ptos.)</t>
  </si>
  <si>
    <t>Regular        (3 ptos.)</t>
  </si>
  <si>
    <t>Por Mejorar       (1 pto.)</t>
  </si>
  <si>
    <t>a.  Experticia del proveedor</t>
  </si>
  <si>
    <t>b.  Calidad producto/servicio</t>
  </si>
  <si>
    <t>c.  Precio</t>
  </si>
  <si>
    <t>d.  Tiempo de entrega</t>
  </si>
  <si>
    <t>e. Garantía y servicio postventa</t>
  </si>
  <si>
    <t>f. Solvencia o liquidez económica</t>
  </si>
  <si>
    <t>Subtotal</t>
  </si>
  <si>
    <t>Total Obtenido</t>
  </si>
  <si>
    <t>Rechazado</t>
  </si>
  <si>
    <t>&lt;</t>
  </si>
  <si>
    <t>Aceptado</t>
  </si>
  <si>
    <t>&gt;=3,6</t>
  </si>
  <si>
    <t>7.2. Observaciones:</t>
  </si>
  <si>
    <t>8. INFORMACIÓN DEL CALIFICADOR</t>
  </si>
  <si>
    <t>8.1. Unidad académica o administrativa:</t>
  </si>
  <si>
    <t>8.2. Nombre:</t>
  </si>
  <si>
    <t>8.3. Cargo: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</si>
</sst>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240A]d&quot; de &quot;mmmm&quot; de &quot;yyyy"/>
    <numFmt numFmtId="165" formatCode="0.0"/>
  </numFmts>
  <fonts count="18">
    <font>
      <sz val="11.0"/>
      <color theme="1"/>
      <name val="Calibri"/>
      <scheme val="minor"/>
    </font>
    <font>
      <sz val="9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>
      <b/>
      <sz val="11.0"/>
      <color theme="1"/>
      <name val="Times New Roman"/>
    </font>
    <font>
      <sz val="10.0"/>
      <color theme="1"/>
      <name val="Arial"/>
    </font>
    <font>
      <b/>
      <sz val="8.0"/>
      <color theme="1"/>
      <name val="Arial"/>
    </font>
    <font/>
    <font>
      <u/>
      <sz val="11.0"/>
      <color rgb="FF0000FF"/>
      <name val="Calibri"/>
    </font>
    <font>
      <b/>
      <sz val="8.0"/>
      <color rgb="FF0000FF"/>
      <name val="Arial"/>
    </font>
    <font>
      <sz val="8.0"/>
      <color rgb="FFFF00FF"/>
      <name val="Arial"/>
    </font>
    <font>
      <sz val="8.0"/>
      <color rgb="FFFFFFFF"/>
      <name val="Arial"/>
    </font>
    <font>
      <sz val="6.0"/>
      <color theme="1"/>
      <name val="Arial"/>
    </font>
    <font>
      <b/>
      <i/>
      <sz val="10.0"/>
      <color theme="1"/>
      <name val="Times New Roman"/>
    </font>
    <font>
      <sz val="7.0"/>
      <color theme="1"/>
      <name val="Arial"/>
    </font>
    <font>
      <b/>
      <sz val="7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1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4" numFmtId="0" xfId="0" applyAlignment="1" applyFont="1">
      <alignment horizontal="right" vertical="center"/>
    </xf>
    <xf borderId="0" fillId="0" fontId="4" numFmtId="0" xfId="0" applyFont="1"/>
    <xf borderId="0" fillId="0" fontId="6" numFmtId="0" xfId="0" applyFont="1"/>
    <xf borderId="1" fillId="0" fontId="7" numFmtId="0" xfId="0" applyAlignment="1" applyBorder="1" applyFont="1">
      <alignment horizontal="center" vertical="center"/>
    </xf>
    <xf borderId="2" fillId="0" fontId="8" numFmtId="0" xfId="0" applyBorder="1" applyFont="1"/>
    <xf borderId="3" fillId="0" fontId="8" numFmtId="0" xfId="0" applyBorder="1" applyFont="1"/>
    <xf borderId="0" fillId="0" fontId="7" numFmtId="0" xfId="0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/>
    </xf>
    <xf borderId="4" fillId="0" fontId="7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center" readingOrder="0" vertical="center"/>
    </xf>
    <xf borderId="6" fillId="0" fontId="8" numFmtId="0" xfId="0" applyBorder="1" applyFont="1"/>
    <xf borderId="5" fillId="0" fontId="8" numFmtId="0" xfId="0" applyBorder="1" applyFont="1"/>
    <xf borderId="7" fillId="0" fontId="4" numFmtId="0" xfId="0" applyAlignment="1" applyBorder="1" applyFont="1">
      <alignment horizontal="center" vertical="center"/>
    </xf>
    <xf borderId="7" fillId="0" fontId="8" numFmtId="0" xfId="0" applyBorder="1" applyFont="1"/>
    <xf borderId="5" fillId="0" fontId="4" numFmtId="0" xfId="0" applyBorder="1" applyFont="1"/>
    <xf borderId="6" fillId="0" fontId="4" numFmtId="0" xfId="0" applyBorder="1" applyFont="1"/>
    <xf borderId="1" fillId="0" fontId="4" numFmtId="0" xfId="0" applyBorder="1" applyFont="1"/>
    <xf borderId="3" fillId="0" fontId="4" numFmtId="0" xfId="0" applyBorder="1" applyFont="1"/>
    <xf borderId="5" fillId="0" fontId="4" numFmtId="0" xfId="0" applyAlignment="1" applyBorder="1" applyFont="1">
      <alignment horizontal="left" readingOrder="0"/>
    </xf>
    <xf borderId="2" fillId="0" fontId="4" numFmtId="0" xfId="0" applyBorder="1" applyFont="1"/>
    <xf borderId="8" fillId="0" fontId="4" numFmtId="0" xfId="0" applyBorder="1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7" fillId="0" fontId="4" numFmtId="3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horizontal="center"/>
    </xf>
    <xf borderId="9" fillId="0" fontId="4" numFmtId="0" xfId="0" applyBorder="1" applyFont="1"/>
    <xf borderId="3" fillId="0" fontId="4" numFmtId="3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left" readingOrder="0"/>
    </xf>
    <xf borderId="7" fillId="0" fontId="4" numFmtId="0" xfId="0" applyAlignment="1" applyBorder="1" applyFont="1">
      <alignment horizontal="left"/>
    </xf>
    <xf borderId="7" fillId="0" fontId="4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left" readingOrder="0"/>
    </xf>
    <xf borderId="10" fillId="0" fontId="4" numFmtId="0" xfId="0" applyBorder="1" applyFont="1"/>
    <xf borderId="7" fillId="0" fontId="10" numFmtId="0" xfId="0" applyBorder="1" applyFont="1"/>
    <xf borderId="11" fillId="0" fontId="10" numFmtId="0" xfId="0" applyBorder="1" applyFont="1"/>
    <xf borderId="12" fillId="0" fontId="4" numFmtId="0" xfId="0" applyBorder="1" applyFont="1"/>
    <xf borderId="3" fillId="0" fontId="7" numFmtId="0" xfId="0" applyAlignment="1" applyBorder="1" applyFont="1">
      <alignment horizontal="left" vertical="center"/>
    </xf>
    <xf borderId="0" fillId="0" fontId="11" numFmtId="0" xfId="0" applyFont="1"/>
    <xf borderId="0" fillId="0" fontId="12" numFmtId="0" xfId="0" applyFont="1"/>
    <xf borderId="13" fillId="2" fontId="4" numFmtId="0" xfId="0" applyAlignment="1" applyBorder="1" applyFill="1" applyFont="1">
      <alignment horizontal="center"/>
    </xf>
    <xf borderId="14" fillId="0" fontId="8" numFmtId="0" xfId="0" applyBorder="1" applyFont="1"/>
    <xf borderId="15" fillId="0" fontId="8" numFmtId="0" xfId="0" applyBorder="1" applyFont="1"/>
    <xf borderId="0" fillId="0" fontId="4" numFmtId="164" xfId="0" applyAlignment="1" applyFont="1" applyNumberFormat="1">
      <alignment horizontal="center"/>
    </xf>
    <xf borderId="0" fillId="0" fontId="7" numFmtId="0" xfId="0" applyAlignment="1" applyFont="1">
      <alignment horizontal="left" vertical="center"/>
    </xf>
    <xf borderId="9" fillId="0" fontId="8" numFmtId="0" xfId="0" applyBorder="1" applyFont="1"/>
    <xf borderId="9" fillId="0" fontId="7" numFmtId="0" xfId="0" applyAlignment="1" applyBorder="1" applyFont="1">
      <alignment horizontal="center" vertical="center"/>
    </xf>
    <xf borderId="7" fillId="0" fontId="4" numFmtId="0" xfId="0" applyBorder="1" applyFont="1"/>
    <xf borderId="11" fillId="0" fontId="4" numFmtId="0" xfId="0" applyBorder="1" applyFont="1"/>
    <xf borderId="4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vertical="center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4" numFmtId="1" xfId="0" applyAlignment="1" applyBorder="1" applyFont="1" applyNumberFormat="1">
      <alignment horizontal="center" readingOrder="0"/>
    </xf>
    <xf borderId="2" fillId="0" fontId="4" numFmtId="1" xfId="0" applyBorder="1" applyFont="1" applyNumberFormat="1"/>
    <xf borderId="0" fillId="0" fontId="10" numFmtId="0" xfId="0" applyAlignment="1" applyFont="1">
      <alignment horizont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right" vertical="center"/>
    </xf>
    <xf borderId="0" fillId="0" fontId="14" numFmtId="0" xfId="0" applyFont="1"/>
    <xf borderId="4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8" fillId="0" fontId="8" numFmtId="0" xfId="0" applyBorder="1" applyFont="1"/>
    <xf borderId="10" fillId="0" fontId="8" numFmtId="0" xfId="0" applyBorder="1" applyFont="1"/>
    <xf borderId="11" fillId="0" fontId="8" numFmtId="0" xfId="0" applyBorder="1" applyFont="1"/>
    <xf borderId="8" fillId="0" fontId="15" numFmtId="0" xfId="0" applyAlignment="1" applyBorder="1" applyFont="1">
      <alignment vertical="top"/>
    </xf>
    <xf borderId="0" fillId="0" fontId="7" numFmtId="0" xfId="0" applyAlignment="1" applyFont="1">
      <alignment vertical="center"/>
    </xf>
    <xf borderId="0" fillId="0" fontId="16" numFmtId="0" xfId="0" applyAlignment="1" applyFont="1">
      <alignment vertical="top"/>
    </xf>
    <xf borderId="0" fillId="0" fontId="15" numFmtId="0" xfId="0" applyAlignment="1" applyFont="1">
      <alignment vertical="top"/>
    </xf>
    <xf borderId="9" fillId="0" fontId="15" numFmtId="0" xfId="0" applyAlignment="1" applyBorder="1" applyFont="1">
      <alignment vertical="top"/>
    </xf>
    <xf borderId="0" fillId="0" fontId="15" numFmtId="0" xfId="0" applyAlignment="1" applyFont="1">
      <alignment horizontal="left" shrinkToFit="0" vertical="center" wrapText="1"/>
    </xf>
    <xf borderId="10" fillId="0" fontId="15" numFmtId="0" xfId="0" applyAlignment="1" applyBorder="1" applyFont="1">
      <alignment vertical="top"/>
    </xf>
    <xf borderId="11" fillId="0" fontId="15" numFmtId="0" xfId="0" applyAlignment="1" applyBorder="1" applyFont="1">
      <alignment vertical="top"/>
    </xf>
    <xf borderId="4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8" fillId="0" fontId="1" numFmtId="0" xfId="0" applyBorder="1" applyFont="1"/>
    <xf borderId="9" fillId="0" fontId="1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4" fillId="0" fontId="4" numFmtId="0" xfId="0" applyAlignment="1" applyBorder="1" applyFont="1">
      <alignment vertical="center"/>
    </xf>
    <xf borderId="4" fillId="0" fontId="4" numFmtId="9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9" fillId="0" fontId="1" numFmtId="0" xfId="0" applyAlignment="1" applyBorder="1" applyFont="1">
      <alignment vertical="center"/>
    </xf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0" fontId="7" numFmtId="2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7" numFmtId="165" xfId="0" applyAlignment="1" applyFont="1" applyNumberFormat="1">
      <alignment horizontal="left" vertical="center"/>
    </xf>
    <xf borderId="16" fillId="0" fontId="3" numFmtId="0" xfId="0" applyBorder="1" applyFont="1"/>
    <xf borderId="8" fillId="0" fontId="7" numFmtId="0" xfId="0" applyBorder="1" applyFont="1"/>
    <xf borderId="7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left"/>
    </xf>
    <xf borderId="10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16" fillId="0" fontId="7" numFmtId="0" xfId="0" applyAlignment="1" applyBorder="1" applyFont="1">
      <alignment horizontal="left" vertical="center"/>
    </xf>
    <xf borderId="16" fillId="0" fontId="4" numFmtId="0" xfId="0" applyAlignment="1" applyBorder="1" applyFont="1">
      <alignment horizontal="left" vertical="center"/>
    </xf>
    <xf borderId="16" fillId="0" fontId="4" numFmtId="0" xfId="0" applyBorder="1" applyFont="1"/>
    <xf borderId="4" fillId="0" fontId="4" numFmtId="0" xfId="0" applyBorder="1" applyFont="1"/>
    <xf borderId="5" fillId="0" fontId="1" numFmtId="0" xfId="0" applyBorder="1" applyFont="1"/>
    <xf borderId="6" fillId="0" fontId="1" numFmtId="0" xfId="0" applyBorder="1" applyFont="1"/>
    <xf borderId="8" fillId="0" fontId="6" numFmtId="0" xfId="0" applyBorder="1" applyFont="1"/>
    <xf borderId="7" fillId="0" fontId="6" numFmtId="0" xfId="0" applyAlignment="1" applyBorder="1" applyFont="1">
      <alignment horizontal="left"/>
    </xf>
    <xf borderId="7" fillId="0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C0C0C0"/>
          <bgColor rgb="FFC0C0C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790700" cy="609600"/>
    <xdr:pic>
      <xdr:nvPicPr>
        <xdr:cNvPr descr="la imagen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56" width="1.86"/>
    <col customWidth="1" hidden="1" min="57" max="58" width="1.8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3"/>
      <c r="AT2" s="1"/>
      <c r="AU2" s="1"/>
      <c r="AV2" s="1"/>
      <c r="AW2" s="1"/>
      <c r="AX2" s="1"/>
      <c r="AY2" s="1"/>
      <c r="AZ2" s="1"/>
      <c r="BA2" s="4"/>
      <c r="BB2" s="1"/>
      <c r="BC2" s="5" t="s">
        <v>0</v>
      </c>
      <c r="BD2" s="1"/>
      <c r="BE2" s="1"/>
      <c r="BF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3"/>
      <c r="AU3" s="1"/>
      <c r="AV3" s="1"/>
      <c r="AW3" s="1"/>
      <c r="AX3" s="1"/>
      <c r="AY3" s="1"/>
      <c r="AZ3" s="1"/>
      <c r="BA3" s="4"/>
      <c r="BB3" s="1"/>
      <c r="BC3" s="1"/>
      <c r="BD3" s="1"/>
      <c r="BE3" s="1"/>
      <c r="BF3" s="1"/>
    </row>
    <row r="4" ht="15.0" customHeight="1">
      <c r="A4" s="1"/>
      <c r="B4" s="1"/>
      <c r="C4" s="5"/>
      <c r="D4" s="1"/>
      <c r="E4" s="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5"/>
      <c r="AW4" s="5"/>
      <c r="AX4" s="1"/>
      <c r="AY4" s="1"/>
      <c r="AZ4" s="1"/>
      <c r="BA4" s="1"/>
      <c r="BB4" s="1"/>
      <c r="BC4" s="6" t="s">
        <v>1</v>
      </c>
      <c r="BD4" s="1"/>
      <c r="BE4" s="1"/>
      <c r="BF4" s="1"/>
    </row>
    <row r="5" ht="15.0" customHeight="1">
      <c r="A5" s="1"/>
      <c r="B5" s="1"/>
      <c r="C5" s="5"/>
      <c r="D5" s="1"/>
      <c r="E5" s="1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  <c r="Y5" s="1"/>
      <c r="Z5" s="1"/>
      <c r="AA5" s="1"/>
      <c r="AB5" s="1"/>
      <c r="AC5" s="1"/>
      <c r="AD5" s="5"/>
      <c r="AE5" s="5"/>
      <c r="AF5" s="1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1"/>
      <c r="AY5" s="1"/>
      <c r="AZ5" s="1"/>
      <c r="BA5" s="1"/>
      <c r="BB5" s="1"/>
      <c r="BC5" s="1"/>
      <c r="BD5" s="1"/>
      <c r="BE5" s="1"/>
      <c r="BF5" s="1"/>
    </row>
    <row r="6" ht="15.0" customHeight="1">
      <c r="A6" s="1"/>
      <c r="B6" s="1"/>
      <c r="C6" s="5"/>
      <c r="D6" s="1"/>
      <c r="E6" s="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5"/>
      <c r="AS6" s="5"/>
      <c r="AT6" s="5"/>
      <c r="AU6" s="1"/>
      <c r="AV6" s="5"/>
      <c r="AW6" s="5"/>
      <c r="AX6" s="1"/>
      <c r="AY6" s="1"/>
      <c r="AZ6" s="1"/>
      <c r="BA6" s="7" t="s">
        <v>2</v>
      </c>
      <c r="BB6" s="1"/>
      <c r="BC6" s="1"/>
      <c r="BD6" s="1"/>
      <c r="BE6" s="1"/>
      <c r="BF6" s="1"/>
    </row>
    <row r="7" ht="15.0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5"/>
      <c r="U7" s="5"/>
      <c r="V7" s="5"/>
      <c r="W7" s="5"/>
      <c r="X7" s="5"/>
      <c r="Y7" s="5"/>
      <c r="Z7" s="5"/>
      <c r="AA7" s="5"/>
      <c r="AB7" s="5"/>
      <c r="AC7" s="1"/>
      <c r="AD7" s="5"/>
      <c r="AE7" s="5"/>
      <c r="AF7" s="5"/>
      <c r="AG7" s="5"/>
      <c r="AH7" s="5"/>
      <c r="AI7" s="5"/>
      <c r="AJ7" s="5"/>
      <c r="AK7" s="8"/>
      <c r="AL7" s="5"/>
      <c r="AM7" s="5"/>
      <c r="AN7" s="5"/>
      <c r="AO7" s="5"/>
      <c r="AP7" s="5"/>
      <c r="AQ7" s="5"/>
      <c r="AR7" s="8"/>
      <c r="AS7" s="8"/>
      <c r="AT7" s="8"/>
      <c r="AU7" s="8"/>
      <c r="AV7" s="8"/>
      <c r="AW7" s="8"/>
      <c r="AX7" s="8"/>
      <c r="AY7" s="8"/>
      <c r="AZ7" s="8"/>
      <c r="BA7" s="4" t="s">
        <v>3</v>
      </c>
      <c r="BB7" s="8"/>
      <c r="BC7" s="8"/>
      <c r="BD7" s="8"/>
      <c r="BE7" s="8"/>
      <c r="BF7" s="8"/>
    </row>
    <row r="8" ht="9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5"/>
      <c r="U8" s="5"/>
      <c r="V8" s="5"/>
      <c r="W8" s="5"/>
      <c r="X8" s="5"/>
      <c r="Y8" s="5"/>
      <c r="Z8" s="5"/>
      <c r="AA8" s="5"/>
      <c r="AB8" s="5"/>
      <c r="AC8" s="1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8"/>
      <c r="AS8" s="8"/>
      <c r="AT8" s="8"/>
      <c r="AU8" s="9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ht="16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0" t="s">
        <v>4</v>
      </c>
      <c r="Q9" s="11"/>
      <c r="R9" s="10" t="s">
        <v>5</v>
      </c>
      <c r="S9" s="11"/>
      <c r="T9" s="10" t="s">
        <v>6</v>
      </c>
      <c r="U9" s="12"/>
      <c r="V9" s="12"/>
      <c r="W9" s="11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13"/>
      <c r="AN9" s="14"/>
      <c r="AO9" s="14"/>
      <c r="AP9" s="14"/>
      <c r="AQ9" s="14"/>
      <c r="AR9" s="14"/>
      <c r="AS9" s="14"/>
      <c r="AT9" s="14"/>
      <c r="AU9" s="8"/>
      <c r="AV9" s="15"/>
      <c r="BD9" s="8"/>
      <c r="BE9" s="8"/>
      <c r="BF9" s="8"/>
    </row>
    <row r="10" ht="15.0" customHeight="1">
      <c r="A10" s="14"/>
      <c r="B10" s="16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8"/>
      <c r="M10" s="17"/>
      <c r="N10" s="17"/>
      <c r="O10" s="18"/>
      <c r="P10" s="19">
        <v>3.0</v>
      </c>
      <c r="Q10" s="20"/>
      <c r="R10" s="19">
        <v>8.0</v>
      </c>
      <c r="S10" s="20"/>
      <c r="T10" s="19">
        <v>2026.0</v>
      </c>
      <c r="U10" s="21"/>
      <c r="V10" s="21"/>
      <c r="W10" s="20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3" t="s">
        <v>8</v>
      </c>
      <c r="AN10" s="14"/>
      <c r="AO10" s="14"/>
      <c r="AP10" s="14"/>
      <c r="AQ10" s="14"/>
      <c r="AR10" s="14"/>
      <c r="AS10" s="14"/>
      <c r="AT10" s="14"/>
      <c r="AU10" s="14"/>
      <c r="AV10" s="22" t="s">
        <v>9</v>
      </c>
      <c r="AW10" s="23"/>
      <c r="AX10" s="23"/>
      <c r="AY10" s="23"/>
      <c r="AZ10" s="23"/>
      <c r="BA10" s="23"/>
      <c r="BB10" s="23"/>
      <c r="BC10" s="23"/>
      <c r="BD10" s="14"/>
      <c r="BE10" s="14"/>
      <c r="BF10" s="14"/>
    </row>
    <row r="11" ht="6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ht="15.0" customHeight="1">
      <c r="A12" s="8"/>
      <c r="B12" s="16" t="s">
        <v>10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5"/>
      <c r="BD12" s="8"/>
      <c r="BE12" s="8"/>
      <c r="BF12" s="8"/>
    </row>
    <row r="13" ht="19.5" customHeight="1">
      <c r="A13" s="8"/>
      <c r="B13" s="26"/>
      <c r="C13" s="27" t="s">
        <v>11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8" t="s">
        <v>12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9"/>
      <c r="BD13" s="8"/>
      <c r="BE13" s="8"/>
      <c r="BF13" s="8"/>
    </row>
    <row r="14" ht="16.5" customHeight="1">
      <c r="A14" s="8"/>
      <c r="B14" s="30"/>
      <c r="C14" s="8" t="s">
        <v>13</v>
      </c>
      <c r="D14" s="8"/>
      <c r="E14" s="31"/>
      <c r="F14" s="8"/>
      <c r="G14" s="8"/>
      <c r="H14" s="8"/>
      <c r="I14" s="8" t="s">
        <v>14</v>
      </c>
      <c r="J14" s="8"/>
      <c r="K14" s="8"/>
      <c r="L14" s="8"/>
      <c r="M14" s="8"/>
      <c r="N14" s="8"/>
      <c r="O14" s="8"/>
      <c r="P14" s="8"/>
      <c r="Q14" s="32" t="s">
        <v>15</v>
      </c>
      <c r="R14" s="8"/>
      <c r="S14" s="8" t="s">
        <v>16</v>
      </c>
      <c r="T14" s="8"/>
      <c r="U14" s="8"/>
      <c r="V14" s="8"/>
      <c r="W14" s="8"/>
      <c r="X14" s="8"/>
      <c r="Y14" s="8"/>
      <c r="Z14" s="8"/>
      <c r="AA14" s="8"/>
      <c r="AB14" s="8"/>
      <c r="AC14" s="8" t="s">
        <v>17</v>
      </c>
      <c r="AD14" s="8"/>
      <c r="AE14" s="8"/>
      <c r="AF14" s="8"/>
      <c r="AG14" s="8"/>
      <c r="AH14" s="8"/>
      <c r="AI14" s="8"/>
      <c r="AJ14" s="8" t="s">
        <v>18</v>
      </c>
      <c r="AK14" s="8"/>
      <c r="AL14" s="33">
        <v>7.9604583E7</v>
      </c>
      <c r="AM14" s="23"/>
      <c r="AN14" s="23"/>
      <c r="AO14" s="23"/>
      <c r="AP14" s="23"/>
      <c r="AQ14" s="23"/>
      <c r="AR14" s="23"/>
      <c r="AS14" s="8"/>
      <c r="AT14" s="8" t="s">
        <v>19</v>
      </c>
      <c r="AU14" s="8"/>
      <c r="AV14" s="8"/>
      <c r="AW14" s="8"/>
      <c r="AX14" s="8"/>
      <c r="AY14" s="8"/>
      <c r="AZ14" s="8"/>
      <c r="BA14" s="34"/>
      <c r="BB14" s="23"/>
      <c r="BC14" s="35"/>
      <c r="BD14" s="35"/>
      <c r="BE14" s="8"/>
      <c r="BF14" s="8"/>
    </row>
    <row r="15" ht="3.75" customHeight="1">
      <c r="A15" s="8"/>
      <c r="B15" s="30"/>
      <c r="C15" s="8"/>
      <c r="D15" s="8"/>
      <c r="E15" s="31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36"/>
      <c r="AN15" s="37"/>
      <c r="AO15" s="37"/>
      <c r="AP15" s="37"/>
      <c r="AQ15" s="37"/>
      <c r="AR15" s="15"/>
      <c r="AS15" s="15"/>
      <c r="AT15" s="8"/>
      <c r="AU15" s="8"/>
      <c r="AV15" s="8"/>
      <c r="AW15" s="8"/>
      <c r="AX15" s="8"/>
      <c r="AY15" s="8"/>
      <c r="AZ15" s="8"/>
      <c r="BA15" s="8"/>
      <c r="BB15" s="37"/>
      <c r="BC15" s="38"/>
      <c r="BD15" s="35"/>
      <c r="BE15" s="8"/>
      <c r="BF15" s="8"/>
    </row>
    <row r="16" ht="16.5" customHeight="1">
      <c r="A16" s="8"/>
      <c r="B16" s="30"/>
      <c r="C16" s="8" t="s">
        <v>20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39" t="s">
        <v>21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35"/>
      <c r="BD16" s="35"/>
      <c r="BE16" s="8"/>
      <c r="BF16" s="8"/>
    </row>
    <row r="17" ht="16.5" customHeight="1">
      <c r="A17" s="8"/>
      <c r="B17" s="30"/>
      <c r="C17" s="8" t="s">
        <v>22</v>
      </c>
      <c r="D17" s="8"/>
      <c r="E17" s="8"/>
      <c r="F17" s="8"/>
      <c r="G17" s="8"/>
      <c r="H17" s="8"/>
      <c r="I17" s="8"/>
      <c r="J17" s="8"/>
      <c r="K17" s="39" t="s">
        <v>23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8"/>
      <c r="AE17" s="8"/>
      <c r="AF17" s="8" t="s">
        <v>24</v>
      </c>
      <c r="AG17" s="8"/>
      <c r="AH17" s="8"/>
      <c r="AI17" s="8"/>
      <c r="AJ17" s="8"/>
      <c r="AK17" s="8"/>
      <c r="AL17" s="28" t="s">
        <v>25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35"/>
      <c r="BD17" s="35"/>
      <c r="BE17" s="8"/>
      <c r="BF17" s="8"/>
    </row>
    <row r="18" ht="16.5" customHeight="1">
      <c r="A18" s="8"/>
      <c r="B18" s="30"/>
      <c r="C18" s="8" t="s">
        <v>26</v>
      </c>
      <c r="D18" s="8"/>
      <c r="E18" s="8"/>
      <c r="F18" s="8"/>
      <c r="G18" s="8"/>
      <c r="H18" s="8"/>
      <c r="I18" s="8"/>
      <c r="J18" s="8"/>
      <c r="K18" s="31"/>
      <c r="L18" s="31"/>
      <c r="M18" s="31"/>
      <c r="N18" s="31"/>
      <c r="O18" s="31"/>
      <c r="P18" s="31"/>
      <c r="Q18" s="39" t="s">
        <v>27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35"/>
      <c r="BD18" s="35"/>
      <c r="BE18" s="8"/>
      <c r="BF18" s="8"/>
    </row>
    <row r="19" ht="16.5" customHeight="1">
      <c r="A19" s="8"/>
      <c r="B19" s="30"/>
      <c r="C19" s="8" t="s">
        <v>28</v>
      </c>
      <c r="D19" s="8"/>
      <c r="E19" s="8"/>
      <c r="F19" s="8"/>
      <c r="G19" s="8"/>
      <c r="H19" s="8"/>
      <c r="I19" s="8"/>
      <c r="J19" s="8"/>
      <c r="K19" s="31"/>
      <c r="L19" s="31"/>
      <c r="M19" s="31"/>
      <c r="N19" s="39" t="s">
        <v>29</v>
      </c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35"/>
      <c r="BD19" s="35"/>
      <c r="BE19" s="8"/>
      <c r="BF19" s="8"/>
    </row>
    <row r="20" ht="16.5" customHeight="1">
      <c r="A20" s="8"/>
      <c r="B20" s="30"/>
      <c r="C20" s="40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35"/>
      <c r="BD20" s="35"/>
      <c r="BE20" s="8"/>
      <c r="BF20" s="8"/>
    </row>
    <row r="21" ht="16.5" customHeight="1">
      <c r="A21" s="8"/>
      <c r="B21" s="30"/>
      <c r="C21" s="8" t="s">
        <v>30</v>
      </c>
      <c r="D21" s="8"/>
      <c r="E21" s="8"/>
      <c r="F21" s="8"/>
      <c r="G21" s="8"/>
      <c r="H21" s="8"/>
      <c r="I21" s="8"/>
      <c r="J21" s="34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8"/>
      <c r="AF21" s="8" t="s">
        <v>31</v>
      </c>
      <c r="AG21" s="8"/>
      <c r="AH21" s="8"/>
      <c r="AI21" s="8"/>
      <c r="AJ21" s="8"/>
      <c r="AK21" s="41">
        <v>3.012726157E9</v>
      </c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35"/>
      <c r="BD21" s="35"/>
      <c r="BE21" s="8"/>
      <c r="BF21" s="8"/>
    </row>
    <row r="22" ht="16.5" customHeight="1">
      <c r="A22" s="8"/>
      <c r="B22" s="30"/>
      <c r="C22" s="8" t="s">
        <v>32</v>
      </c>
      <c r="D22" s="8"/>
      <c r="E22" s="8"/>
      <c r="F22" s="8"/>
      <c r="G22" s="8"/>
      <c r="H22" s="8"/>
      <c r="I22" s="8"/>
      <c r="J22" s="8"/>
      <c r="K22" s="8"/>
      <c r="L22" s="8"/>
      <c r="M22" s="42" t="s">
        <v>33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35"/>
      <c r="BD22" s="35"/>
      <c r="BE22" s="8"/>
      <c r="BF22" s="8"/>
    </row>
    <row r="23" ht="8.25" customHeight="1">
      <c r="A23" s="8"/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5"/>
      <c r="BD23" s="46"/>
      <c r="BE23" s="8"/>
      <c r="BF23" s="8"/>
    </row>
    <row r="24" ht="6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ht="15.0" customHeight="1">
      <c r="A25" s="8"/>
      <c r="B25" s="16" t="s">
        <v>34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5"/>
      <c r="BD25" s="8"/>
      <c r="BE25" s="8"/>
      <c r="BF25" s="8"/>
    </row>
    <row r="26" ht="16.5" customHeight="1">
      <c r="A26" s="8"/>
      <c r="B26" s="26"/>
      <c r="C26" s="47" t="s">
        <v>35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1"/>
      <c r="BD26" s="35"/>
      <c r="BE26" s="8"/>
      <c r="BF26" s="8"/>
    </row>
    <row r="27" ht="15.0" customHeight="1">
      <c r="A27" s="8"/>
      <c r="B27" s="30"/>
      <c r="C27" s="13" t="s">
        <v>36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35"/>
      <c r="BD27" s="35"/>
      <c r="BE27" s="8"/>
      <c r="BF27" s="8"/>
    </row>
    <row r="28" ht="16.5" customHeight="1">
      <c r="A28" s="8"/>
      <c r="B28" s="30"/>
      <c r="C28" s="8" t="s">
        <v>37</v>
      </c>
      <c r="D28" s="8"/>
      <c r="E28" s="8"/>
      <c r="F28" s="8"/>
      <c r="G28" s="8"/>
      <c r="H28" s="8"/>
      <c r="I28" s="8"/>
      <c r="J28" s="32" t="s">
        <v>15</v>
      </c>
      <c r="K28" s="8"/>
      <c r="L28" s="8"/>
      <c r="M28" s="8" t="s">
        <v>38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 t="s">
        <v>39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 t="s">
        <v>40</v>
      </c>
      <c r="AJ28" s="8"/>
      <c r="AK28" s="8"/>
      <c r="AL28" s="8"/>
      <c r="AM28" s="8" t="s">
        <v>41</v>
      </c>
      <c r="AN28" s="8"/>
      <c r="AO28" s="8"/>
      <c r="AP28" s="40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35"/>
      <c r="BD28" s="35"/>
      <c r="BE28" s="8"/>
      <c r="BF28" s="8"/>
    </row>
    <row r="29" ht="15.0" customHeight="1">
      <c r="A29" s="8"/>
      <c r="B29" s="30"/>
      <c r="C29" s="13" t="s">
        <v>42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35"/>
      <c r="BD29" s="35"/>
      <c r="BE29" s="8"/>
      <c r="BF29" s="8"/>
    </row>
    <row r="30" ht="18.0" customHeight="1">
      <c r="A30" s="8"/>
      <c r="B30" s="30"/>
      <c r="C30" s="8" t="s">
        <v>43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 t="s">
        <v>44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 t="s">
        <v>45</v>
      </c>
      <c r="AT30" s="8"/>
      <c r="AU30" s="8"/>
      <c r="AV30" s="8"/>
      <c r="AW30" s="8"/>
      <c r="AX30" s="8"/>
      <c r="AY30" s="8"/>
      <c r="AZ30" s="32" t="s">
        <v>15</v>
      </c>
      <c r="BA30" s="8"/>
      <c r="BB30" s="8"/>
      <c r="BC30" s="35"/>
      <c r="BD30" s="35"/>
      <c r="BE30" s="8"/>
      <c r="BF30" s="8"/>
    </row>
    <row r="31" ht="15.0" customHeight="1">
      <c r="A31" s="8"/>
      <c r="B31" s="30"/>
      <c r="C31" s="13" t="s">
        <v>46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48"/>
      <c r="S31" s="4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35"/>
      <c r="BD31" s="35"/>
      <c r="BE31" s="8"/>
      <c r="BF31" s="8"/>
    </row>
    <row r="32" ht="18.0" customHeight="1">
      <c r="A32" s="8"/>
      <c r="B32" s="30"/>
      <c r="C32" s="8" t="s">
        <v>47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 t="s">
        <v>48</v>
      </c>
      <c r="P32" s="8"/>
      <c r="Q32" s="8"/>
      <c r="R32" s="48"/>
      <c r="S32" s="48"/>
      <c r="T32" s="8"/>
      <c r="U32" s="8" t="s">
        <v>49</v>
      </c>
      <c r="V32" s="8"/>
      <c r="W32" s="32" t="s">
        <v>15</v>
      </c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35"/>
      <c r="BD32" s="35"/>
      <c r="BE32" s="8"/>
      <c r="BF32" s="8"/>
    </row>
    <row r="33" ht="3.0" customHeight="1">
      <c r="A33" s="8"/>
      <c r="B33" s="3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48"/>
      <c r="S33" s="4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35"/>
      <c r="BD33" s="35"/>
      <c r="BE33" s="8"/>
      <c r="BF33" s="8"/>
    </row>
    <row r="34" ht="15.0" customHeight="1">
      <c r="A34" s="8"/>
      <c r="B34" s="30"/>
      <c r="C34" s="8" t="s">
        <v>50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 t="s">
        <v>48</v>
      </c>
      <c r="P34" s="8"/>
      <c r="Q34" s="8"/>
      <c r="R34" s="48"/>
      <c r="S34" s="49" t="b">
        <v>1</v>
      </c>
      <c r="T34" s="8"/>
      <c r="U34" s="8" t="s">
        <v>49</v>
      </c>
      <c r="V34" s="8"/>
      <c r="W34" s="32" t="s">
        <v>15</v>
      </c>
      <c r="X34" s="8"/>
      <c r="Y34" s="8"/>
      <c r="Z34" s="8" t="s">
        <v>51</v>
      </c>
      <c r="AA34" s="8"/>
      <c r="AB34" s="8"/>
      <c r="AC34" s="8"/>
      <c r="AD34" s="8"/>
      <c r="AE34" s="8"/>
      <c r="AF34" s="50"/>
      <c r="AG34" s="51"/>
      <c r="AH34" s="51"/>
      <c r="AI34" s="51"/>
      <c r="AJ34" s="51"/>
      <c r="AK34" s="51"/>
      <c r="AL34" s="51"/>
      <c r="AM34" s="52"/>
      <c r="AN34" s="8"/>
      <c r="AO34" s="8" t="s">
        <v>52</v>
      </c>
      <c r="AP34" s="8"/>
      <c r="AQ34" s="8"/>
      <c r="AR34" s="50"/>
      <c r="AS34" s="51"/>
      <c r="AT34" s="51"/>
      <c r="AU34" s="51"/>
      <c r="AV34" s="51"/>
      <c r="AW34" s="51"/>
      <c r="AX34" s="51"/>
      <c r="AY34" s="51"/>
      <c r="AZ34" s="51"/>
      <c r="BA34" s="51"/>
      <c r="BB34" s="52"/>
      <c r="BC34" s="35"/>
      <c r="BD34" s="35"/>
      <c r="BE34" s="8"/>
      <c r="BF34" s="8"/>
    </row>
    <row r="35" ht="3.0" customHeight="1">
      <c r="A35" s="8"/>
      <c r="B35" s="3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48"/>
      <c r="S35" s="49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15"/>
      <c r="AG35" s="15"/>
      <c r="AH35" s="15"/>
      <c r="AI35" s="15"/>
      <c r="AJ35" s="15"/>
      <c r="AK35" s="15"/>
      <c r="AL35" s="15"/>
      <c r="AM35" s="15"/>
      <c r="AN35" s="8"/>
      <c r="AO35" s="8"/>
      <c r="AP35" s="8"/>
      <c r="AQ35" s="8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35"/>
      <c r="BD35" s="35"/>
      <c r="BE35" s="8"/>
      <c r="BF35" s="8"/>
    </row>
    <row r="36" ht="15.0" customHeight="1">
      <c r="A36" s="8"/>
      <c r="B36" s="30"/>
      <c r="C36" s="8" t="s">
        <v>53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 t="s">
        <v>48</v>
      </c>
      <c r="P36" s="8"/>
      <c r="Q36" s="8"/>
      <c r="R36" s="48"/>
      <c r="S36" s="49" t="b">
        <v>1</v>
      </c>
      <c r="T36" s="8"/>
      <c r="U36" s="8" t="s">
        <v>49</v>
      </c>
      <c r="V36" s="8"/>
      <c r="W36" s="32" t="s">
        <v>15</v>
      </c>
      <c r="X36" s="8"/>
      <c r="Y36" s="8"/>
      <c r="Z36" s="8" t="s">
        <v>51</v>
      </c>
      <c r="AA36" s="8"/>
      <c r="AB36" s="8"/>
      <c r="AC36" s="8"/>
      <c r="AD36" s="8"/>
      <c r="AE36" s="8"/>
      <c r="AF36" s="50"/>
      <c r="AG36" s="51"/>
      <c r="AH36" s="51"/>
      <c r="AI36" s="51"/>
      <c r="AJ36" s="51"/>
      <c r="AK36" s="51"/>
      <c r="AL36" s="51"/>
      <c r="AM36" s="52"/>
      <c r="AN36" s="8"/>
      <c r="AO36" s="8" t="s">
        <v>52</v>
      </c>
      <c r="AP36" s="8"/>
      <c r="AQ36" s="8"/>
      <c r="AR36" s="50"/>
      <c r="AS36" s="51"/>
      <c r="AT36" s="51"/>
      <c r="AU36" s="51"/>
      <c r="AV36" s="51"/>
      <c r="AW36" s="51"/>
      <c r="AX36" s="51"/>
      <c r="AY36" s="51"/>
      <c r="AZ36" s="51"/>
      <c r="BA36" s="51"/>
      <c r="BB36" s="52"/>
      <c r="BC36" s="35"/>
      <c r="BD36" s="35"/>
      <c r="BE36" s="8"/>
      <c r="BF36" s="8"/>
    </row>
    <row r="37" ht="18.0" customHeight="1">
      <c r="A37" s="8"/>
      <c r="B37" s="30"/>
      <c r="C37" s="8" t="s">
        <v>54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 t="s">
        <v>48</v>
      </c>
      <c r="P37" s="8"/>
      <c r="Q37" s="8"/>
      <c r="R37" s="48"/>
      <c r="S37" s="48"/>
      <c r="T37" s="8"/>
      <c r="U37" s="8" t="s">
        <v>49</v>
      </c>
      <c r="V37" s="8"/>
      <c r="W37" s="32" t="s">
        <v>15</v>
      </c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35"/>
      <c r="BD37" s="35"/>
      <c r="BE37" s="8"/>
      <c r="BF37" s="8"/>
    </row>
    <row r="38" ht="18.0" customHeight="1">
      <c r="A38" s="8"/>
      <c r="B38" s="30"/>
      <c r="C38" s="8" t="s">
        <v>55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 t="s">
        <v>48</v>
      </c>
      <c r="P38" s="8"/>
      <c r="Q38" s="8"/>
      <c r="R38" s="48"/>
      <c r="S38" s="48"/>
      <c r="T38" s="8"/>
      <c r="U38" s="8" t="s">
        <v>49</v>
      </c>
      <c r="V38" s="8"/>
      <c r="W38" s="32" t="s">
        <v>15</v>
      </c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35"/>
      <c r="BD38" s="35"/>
      <c r="BE38" s="8"/>
      <c r="BF38" s="8"/>
    </row>
    <row r="39" ht="5.25" customHeight="1">
      <c r="A39" s="8"/>
      <c r="B39" s="30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35"/>
      <c r="BD39" s="35"/>
      <c r="BE39" s="8"/>
      <c r="BF39" s="8"/>
    </row>
    <row r="40" ht="12.0" customHeight="1">
      <c r="A40" s="8"/>
      <c r="B40" s="30"/>
      <c r="C40" s="54" t="s">
        <v>56</v>
      </c>
      <c r="BC40" s="55"/>
      <c r="BD40" s="56"/>
      <c r="BE40" s="8"/>
      <c r="BF40" s="8"/>
    </row>
    <row r="41" ht="16.5" customHeight="1">
      <c r="A41" s="8"/>
      <c r="B41" s="30"/>
      <c r="C41" s="13" t="s">
        <v>57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35"/>
      <c r="BD41" s="35"/>
      <c r="BE41" s="8"/>
      <c r="BF41" s="8"/>
    </row>
    <row r="42" ht="19.5" customHeight="1">
      <c r="A42" s="8"/>
      <c r="B42" s="30"/>
      <c r="C42" s="8" t="s">
        <v>43</v>
      </c>
      <c r="D42" s="8"/>
      <c r="E42" s="8"/>
      <c r="F42" s="8"/>
      <c r="G42" s="8"/>
      <c r="H42" s="8"/>
      <c r="I42" s="8"/>
      <c r="J42" s="8"/>
      <c r="K42" s="8"/>
      <c r="L42" s="8" t="s">
        <v>44</v>
      </c>
      <c r="M42" s="8"/>
      <c r="N42" s="8"/>
      <c r="O42" s="8"/>
      <c r="P42" s="8"/>
      <c r="Q42" s="8"/>
      <c r="R42" s="8"/>
      <c r="S42" s="8"/>
      <c r="T42" s="8"/>
      <c r="U42" s="32"/>
      <c r="V42" s="8"/>
      <c r="W42" s="8" t="s">
        <v>45</v>
      </c>
      <c r="X42" s="8"/>
      <c r="Y42" s="8"/>
      <c r="Z42" s="8"/>
      <c r="AA42" s="8"/>
      <c r="AB42" s="8"/>
      <c r="AC42" s="8"/>
      <c r="AD42" s="32" t="s">
        <v>15</v>
      </c>
      <c r="AE42" s="8"/>
      <c r="AF42" s="8" t="s">
        <v>58</v>
      </c>
      <c r="AG42" s="8"/>
      <c r="AH42" s="8"/>
      <c r="AI42" s="34"/>
      <c r="AJ42" s="23"/>
      <c r="AK42" s="23"/>
      <c r="AL42" s="23"/>
      <c r="AM42" s="23"/>
      <c r="AN42" s="23"/>
      <c r="AO42" s="23"/>
      <c r="AP42" s="8"/>
      <c r="AQ42" s="8" t="s">
        <v>59</v>
      </c>
      <c r="AR42" s="8"/>
      <c r="AS42" s="8"/>
      <c r="AT42" s="8"/>
      <c r="AU42" s="8"/>
      <c r="AV42" s="8"/>
      <c r="AW42" s="8"/>
      <c r="AX42" s="8"/>
      <c r="AY42" s="41">
        <v>6201.0</v>
      </c>
      <c r="AZ42" s="23"/>
      <c r="BA42" s="23"/>
      <c r="BB42" s="23"/>
      <c r="BC42" s="35"/>
      <c r="BD42" s="35"/>
      <c r="BE42" s="8"/>
      <c r="BF42" s="8"/>
    </row>
    <row r="43" ht="9.75" customHeight="1">
      <c r="A43" s="8"/>
      <c r="B43" s="43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8"/>
      <c r="BD43" s="35"/>
      <c r="BE43" s="8"/>
      <c r="BF43" s="8"/>
    </row>
    <row r="44" ht="6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</row>
    <row r="45" ht="15.0" customHeight="1">
      <c r="A45" s="8"/>
      <c r="B45" s="16" t="s">
        <v>60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5"/>
      <c r="BD45" s="35"/>
      <c r="BE45" s="8"/>
      <c r="BF45" s="8"/>
    </row>
    <row r="46" ht="15.0" customHeight="1">
      <c r="A46" s="8"/>
      <c r="B46" s="59" t="s">
        <v>61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0"/>
      <c r="Q46" s="59" t="s">
        <v>62</v>
      </c>
      <c r="R46" s="21"/>
      <c r="S46" s="21"/>
      <c r="T46" s="21"/>
      <c r="U46" s="21"/>
      <c r="V46" s="21"/>
      <c r="W46" s="21"/>
      <c r="X46" s="21"/>
      <c r="Y46" s="21"/>
      <c r="Z46" s="21"/>
      <c r="AA46" s="20"/>
      <c r="AB46" s="59" t="s">
        <v>63</v>
      </c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0"/>
      <c r="AN46" s="59" t="s">
        <v>64</v>
      </c>
      <c r="AO46" s="21"/>
      <c r="AP46" s="21"/>
      <c r="AQ46" s="21"/>
      <c r="AR46" s="21"/>
      <c r="AS46" s="21"/>
      <c r="AT46" s="21"/>
      <c r="AU46" s="21"/>
      <c r="AV46" s="20"/>
      <c r="AW46" s="59" t="s">
        <v>65</v>
      </c>
      <c r="AX46" s="21"/>
      <c r="AY46" s="21"/>
      <c r="AZ46" s="21"/>
      <c r="BA46" s="21"/>
      <c r="BB46" s="21"/>
      <c r="BC46" s="20"/>
      <c r="BD46" s="60"/>
      <c r="BE46" s="8"/>
      <c r="BF46" s="8"/>
    </row>
    <row r="47" ht="15.0" customHeight="1">
      <c r="A47" s="8"/>
      <c r="B47" s="61" t="s">
        <v>66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0"/>
      <c r="Q47" s="61" t="s">
        <v>67</v>
      </c>
      <c r="R47" s="21"/>
      <c r="S47" s="21"/>
      <c r="T47" s="21"/>
      <c r="U47" s="21"/>
      <c r="V47" s="21"/>
      <c r="W47" s="21"/>
      <c r="X47" s="21"/>
      <c r="Y47" s="21"/>
      <c r="Z47" s="21"/>
      <c r="AA47" s="20"/>
      <c r="AB47" s="62" t="s">
        <v>68</v>
      </c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0"/>
      <c r="AN47" s="62" t="s">
        <v>69</v>
      </c>
      <c r="AO47" s="21"/>
      <c r="AP47" s="21"/>
      <c r="AQ47" s="21"/>
      <c r="AR47" s="21"/>
      <c r="AS47" s="21"/>
      <c r="AT47" s="21"/>
      <c r="AU47" s="21"/>
      <c r="AV47" s="20"/>
      <c r="AW47" s="62">
        <v>3.102400275E9</v>
      </c>
      <c r="AX47" s="21"/>
      <c r="AY47" s="21"/>
      <c r="AZ47" s="21"/>
      <c r="BA47" s="21"/>
      <c r="BB47" s="21"/>
      <c r="BC47" s="20"/>
      <c r="BD47" s="63"/>
      <c r="BE47" s="8"/>
      <c r="BF47" s="8"/>
    </row>
    <row r="48" ht="15.0" customHeight="1">
      <c r="A48" s="8"/>
      <c r="B48" s="6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0"/>
      <c r="Q48" s="64"/>
      <c r="R48" s="21"/>
      <c r="S48" s="21"/>
      <c r="T48" s="21"/>
      <c r="U48" s="21"/>
      <c r="V48" s="21"/>
      <c r="W48" s="21"/>
      <c r="X48" s="21"/>
      <c r="Y48" s="21"/>
      <c r="Z48" s="21"/>
      <c r="AA48" s="20"/>
      <c r="AB48" s="65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0"/>
      <c r="AN48" s="65"/>
      <c r="AO48" s="21"/>
      <c r="AP48" s="21"/>
      <c r="AQ48" s="21"/>
      <c r="AR48" s="21"/>
      <c r="AS48" s="21"/>
      <c r="AT48" s="21"/>
      <c r="AU48" s="21"/>
      <c r="AV48" s="20"/>
      <c r="AW48" s="65"/>
      <c r="AX48" s="21"/>
      <c r="AY48" s="21"/>
      <c r="AZ48" s="21"/>
      <c r="BA48" s="21"/>
      <c r="BB48" s="21"/>
      <c r="BC48" s="20"/>
      <c r="BD48" s="63"/>
      <c r="BE48" s="8"/>
      <c r="BF48" s="8"/>
    </row>
    <row r="49" ht="6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</row>
    <row r="50" ht="15.0" customHeight="1">
      <c r="A50" s="8"/>
      <c r="B50" s="16" t="s">
        <v>70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5"/>
      <c r="BD50" s="35"/>
      <c r="BE50" s="8"/>
      <c r="BF50" s="8"/>
    </row>
    <row r="51" ht="19.5" customHeight="1">
      <c r="A51" s="8"/>
      <c r="B51" s="26"/>
      <c r="C51" s="27" t="s">
        <v>71</v>
      </c>
      <c r="D51" s="27"/>
      <c r="E51" s="27"/>
      <c r="F51" s="27"/>
      <c r="G51" s="27"/>
      <c r="H51" s="27"/>
      <c r="I51" s="27"/>
      <c r="J51" s="27"/>
      <c r="K51" s="27"/>
      <c r="L51" s="28" t="s">
        <v>72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7"/>
      <c r="AE51" s="27" t="s">
        <v>73</v>
      </c>
      <c r="AF51" s="27"/>
      <c r="AG51" s="27"/>
      <c r="AH51" s="27"/>
      <c r="AI51" s="27"/>
      <c r="AJ51" s="27"/>
      <c r="AK51" s="27"/>
      <c r="AL51" s="27"/>
      <c r="AM51" s="27"/>
      <c r="AN51" s="27"/>
      <c r="AO51" s="66">
        <v>9.4429412531E10</v>
      </c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67"/>
      <c r="BD51" s="35"/>
      <c r="BE51" s="8"/>
      <c r="BF51" s="8"/>
    </row>
    <row r="52" ht="16.5" customHeight="1">
      <c r="A52" s="8"/>
      <c r="B52" s="30"/>
      <c r="C52" s="8" t="s">
        <v>74</v>
      </c>
      <c r="D52" s="8"/>
      <c r="E52" s="8"/>
      <c r="F52" s="8"/>
      <c r="G52" s="8"/>
      <c r="H52" s="8"/>
      <c r="I52" s="8"/>
      <c r="J52" s="8"/>
      <c r="K52" s="39" t="s">
        <v>75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8"/>
      <c r="W52" s="8" t="s">
        <v>76</v>
      </c>
      <c r="X52" s="8"/>
      <c r="Y52" s="8"/>
      <c r="Z52" s="8"/>
      <c r="AA52" s="8"/>
      <c r="AB52" s="8"/>
      <c r="AC52" s="8"/>
      <c r="AD52" s="8"/>
      <c r="AE52" s="8"/>
      <c r="AF52" s="39" t="s">
        <v>12</v>
      </c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35"/>
      <c r="BD52" s="35"/>
      <c r="BE52" s="8"/>
      <c r="BF52" s="8"/>
    </row>
    <row r="53" ht="4.5" customHeight="1">
      <c r="A53" s="8"/>
      <c r="B53" s="30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35"/>
      <c r="BD53" s="35"/>
      <c r="BE53" s="8"/>
      <c r="BF53" s="8"/>
    </row>
    <row r="54" ht="15.0" customHeight="1">
      <c r="A54" s="8"/>
      <c r="B54" s="30"/>
      <c r="C54" s="68" t="s">
        <v>77</v>
      </c>
      <c r="BC54" s="55"/>
      <c r="BD54" s="35"/>
      <c r="BE54" s="8"/>
      <c r="BF54" s="8"/>
    </row>
    <row r="55" ht="6.0" customHeight="1">
      <c r="A55" s="8"/>
      <c r="B55" s="43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8"/>
      <c r="BD55" s="35"/>
      <c r="BE55" s="8"/>
      <c r="BF55" s="8"/>
    </row>
    <row r="56" ht="14.25" customHeight="1">
      <c r="A56" s="69"/>
      <c r="B56" s="69" t="s">
        <v>78</v>
      </c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70" t="s">
        <v>79</v>
      </c>
      <c r="BD56" s="69"/>
      <c r="BE56" s="69"/>
      <c r="BF56" s="69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</row>
    <row r="58" ht="15.0" customHeight="1">
      <c r="A58" s="8"/>
      <c r="B58" s="71" t="s">
        <v>80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7" t="s">
        <v>81</v>
      </c>
      <c r="BD58" s="8"/>
      <c r="BE58" s="8"/>
      <c r="BF58" s="8"/>
    </row>
    <row r="59" ht="15.0" customHeight="1">
      <c r="A59" s="8"/>
      <c r="B59" s="72" t="s">
        <v>82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0"/>
      <c r="BD59" s="73"/>
      <c r="BE59" s="8"/>
      <c r="BF59" s="8"/>
    </row>
    <row r="60" ht="4.5" customHeight="1">
      <c r="A60" s="8"/>
      <c r="B60" s="74" t="s">
        <v>83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1"/>
      <c r="BD60" s="73"/>
      <c r="BE60" s="8"/>
      <c r="BF60" s="8"/>
    </row>
    <row r="61" ht="4.5" customHeight="1">
      <c r="A61" s="8"/>
      <c r="B61" s="75"/>
      <c r="BC61" s="55"/>
      <c r="BD61" s="8"/>
      <c r="BE61" s="8"/>
      <c r="BF61" s="8"/>
    </row>
    <row r="62" ht="15.75" customHeight="1">
      <c r="A62" s="8"/>
      <c r="B62" s="75"/>
      <c r="BC62" s="55"/>
      <c r="BD62" s="8"/>
      <c r="BE62" s="8"/>
      <c r="BF62" s="8"/>
    </row>
    <row r="63" ht="15.75" customHeight="1">
      <c r="A63" s="8"/>
      <c r="B63" s="75"/>
      <c r="BC63" s="55"/>
      <c r="BD63" s="8"/>
      <c r="BE63" s="8"/>
      <c r="BF63" s="8"/>
    </row>
    <row r="64" ht="15.75" customHeight="1">
      <c r="A64" s="8"/>
      <c r="B64" s="75"/>
      <c r="BC64" s="55"/>
      <c r="BD64" s="8"/>
      <c r="BE64" s="8"/>
      <c r="BF64" s="8"/>
    </row>
    <row r="65" ht="15.75" customHeight="1">
      <c r="A65" s="8"/>
      <c r="B65" s="75"/>
      <c r="BC65" s="55"/>
      <c r="BD65" s="8"/>
      <c r="BE65" s="8"/>
      <c r="BF65" s="8"/>
    </row>
    <row r="66" ht="15.75" customHeight="1">
      <c r="A66" s="8"/>
      <c r="B66" s="75"/>
      <c r="BC66" s="55"/>
      <c r="BD66" s="8"/>
      <c r="BE66" s="8"/>
      <c r="BF66" s="8"/>
    </row>
    <row r="67" ht="15.75" customHeight="1">
      <c r="A67" s="8"/>
      <c r="B67" s="75"/>
      <c r="BC67" s="55"/>
      <c r="BD67" s="8"/>
      <c r="BE67" s="8"/>
      <c r="BF67" s="8"/>
    </row>
    <row r="68" ht="15.75" customHeight="1">
      <c r="A68" s="8"/>
      <c r="B68" s="75"/>
      <c r="BC68" s="55"/>
      <c r="BD68" s="8"/>
      <c r="BE68" s="8"/>
      <c r="BF68" s="8"/>
    </row>
    <row r="69" ht="15.75" customHeight="1">
      <c r="A69" s="8"/>
      <c r="B69" s="75"/>
      <c r="BC69" s="55"/>
      <c r="BD69" s="8"/>
      <c r="BE69" s="8"/>
      <c r="BF69" s="8"/>
    </row>
    <row r="70" ht="15.75" customHeight="1">
      <c r="A70" s="8"/>
      <c r="B70" s="75"/>
      <c r="BC70" s="55"/>
      <c r="BD70" s="8"/>
      <c r="BE70" s="8"/>
      <c r="BF70" s="8"/>
    </row>
    <row r="71" ht="15.75" customHeight="1">
      <c r="A71" s="8"/>
      <c r="B71" s="75"/>
      <c r="BC71" s="55"/>
      <c r="BD71" s="8"/>
      <c r="BE71" s="8"/>
      <c r="BF71" s="8"/>
    </row>
    <row r="72" ht="15.75" customHeight="1">
      <c r="A72" s="8"/>
      <c r="B72" s="75"/>
      <c r="BC72" s="55"/>
      <c r="BD72" s="8"/>
      <c r="BE72" s="8"/>
      <c r="BF72" s="8"/>
    </row>
    <row r="73" ht="15.75" customHeight="1">
      <c r="A73" s="8"/>
      <c r="B73" s="75"/>
      <c r="BC73" s="55"/>
      <c r="BD73" s="8"/>
      <c r="BE73" s="8"/>
      <c r="BF73" s="8"/>
    </row>
    <row r="74" ht="15.75" customHeight="1">
      <c r="A74" s="8"/>
      <c r="B74" s="75"/>
      <c r="BC74" s="55"/>
      <c r="BD74" s="8"/>
      <c r="BE74" s="8"/>
      <c r="BF74" s="8"/>
    </row>
    <row r="75" ht="15.75" customHeight="1">
      <c r="A75" s="8"/>
      <c r="B75" s="75"/>
      <c r="BC75" s="55"/>
      <c r="BD75" s="8"/>
      <c r="BE75" s="8"/>
      <c r="BF75" s="8"/>
    </row>
    <row r="76" ht="15.75" customHeight="1">
      <c r="A76" s="8"/>
      <c r="B76" s="75"/>
      <c r="BC76" s="55"/>
      <c r="BD76" s="8"/>
      <c r="BE76" s="8"/>
      <c r="BF76" s="8"/>
    </row>
    <row r="77" ht="15.75" customHeight="1">
      <c r="A77" s="14"/>
      <c r="B77" s="75"/>
      <c r="BC77" s="55"/>
      <c r="BD77" s="7"/>
      <c r="BE77" s="14"/>
      <c r="BF77" s="14"/>
    </row>
    <row r="78" ht="15.75" customHeight="1">
      <c r="A78" s="14"/>
      <c r="B78" s="75"/>
      <c r="BC78" s="55"/>
      <c r="BD78" s="7"/>
      <c r="BE78" s="14"/>
      <c r="BF78" s="14"/>
    </row>
    <row r="79" ht="15.75" customHeight="1">
      <c r="A79" s="14"/>
      <c r="B79" s="75"/>
      <c r="BC79" s="55"/>
      <c r="BD79" s="7"/>
      <c r="BE79" s="14"/>
      <c r="BF79" s="14"/>
    </row>
    <row r="80" ht="15.75" customHeight="1">
      <c r="A80" s="14"/>
      <c r="B80" s="75"/>
      <c r="BC80" s="55"/>
      <c r="BD80" s="7"/>
      <c r="BE80" s="14"/>
      <c r="BF80" s="14"/>
    </row>
    <row r="81" ht="15.75" customHeight="1">
      <c r="A81" s="14"/>
      <c r="B81" s="75"/>
      <c r="BC81" s="55"/>
      <c r="BD81" s="7"/>
      <c r="BE81" s="14"/>
      <c r="BF81" s="14"/>
    </row>
    <row r="82" ht="15.75" customHeight="1">
      <c r="A82" s="14"/>
      <c r="B82" s="75"/>
      <c r="BC82" s="55"/>
      <c r="BD82" s="7"/>
      <c r="BE82" s="14"/>
      <c r="BF82" s="14"/>
    </row>
    <row r="83" ht="112.5" customHeight="1">
      <c r="A83" s="14"/>
      <c r="B83" s="76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77"/>
      <c r="BD83" s="7"/>
      <c r="BE83" s="14"/>
      <c r="BF83" s="14"/>
    </row>
    <row r="84" ht="16.5" customHeight="1">
      <c r="A84" s="14"/>
      <c r="B84" s="78"/>
      <c r="C84" s="79" t="s">
        <v>84</v>
      </c>
      <c r="D84" s="80"/>
      <c r="E84" s="80"/>
      <c r="F84" s="80"/>
      <c r="G84" s="80"/>
      <c r="H84" s="80"/>
      <c r="I84" s="80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2"/>
      <c r="BD84" s="7"/>
      <c r="BE84" s="14"/>
      <c r="BF84" s="14"/>
    </row>
    <row r="85" ht="15.0" customHeight="1">
      <c r="A85" s="14"/>
      <c r="B85" s="78"/>
      <c r="C85" s="83" t="s">
        <v>85</v>
      </c>
      <c r="BC85" s="82"/>
      <c r="BD85" s="7"/>
      <c r="BE85" s="14"/>
      <c r="BF85" s="14"/>
    </row>
    <row r="86" ht="15.0" customHeight="1">
      <c r="A86" s="14"/>
      <c r="B86" s="78"/>
      <c r="BC86" s="82"/>
      <c r="BD86" s="7"/>
      <c r="BE86" s="14"/>
      <c r="BF86" s="14"/>
    </row>
    <row r="87" ht="15.0" customHeight="1">
      <c r="A87" s="14"/>
      <c r="B87" s="78"/>
      <c r="BC87" s="82"/>
      <c r="BD87" s="7"/>
      <c r="BE87" s="14"/>
      <c r="BF87" s="14"/>
    </row>
    <row r="88" ht="15.0" customHeight="1">
      <c r="A88" s="14"/>
      <c r="B88" s="78"/>
      <c r="BC88" s="82"/>
      <c r="BD88" s="7"/>
      <c r="BE88" s="14"/>
      <c r="BF88" s="14"/>
    </row>
    <row r="89" ht="15.0" customHeight="1">
      <c r="A89" s="14"/>
      <c r="B89" s="78"/>
      <c r="BC89" s="82"/>
      <c r="BD89" s="7"/>
      <c r="BE89" s="14"/>
      <c r="BF89" s="14"/>
    </row>
    <row r="90" ht="15.0" customHeight="1">
      <c r="A90" s="14"/>
      <c r="B90" s="78"/>
      <c r="BC90" s="82"/>
      <c r="BD90" s="7"/>
      <c r="BE90" s="14"/>
      <c r="BF90" s="14"/>
    </row>
    <row r="91" ht="15.0" customHeight="1">
      <c r="A91" s="14"/>
      <c r="B91" s="78"/>
      <c r="BC91" s="82"/>
      <c r="BD91" s="7"/>
      <c r="BE91" s="14"/>
      <c r="BF91" s="14"/>
    </row>
    <row r="92" ht="15.0" customHeight="1">
      <c r="A92" s="14"/>
      <c r="B92" s="78"/>
      <c r="BC92" s="82"/>
      <c r="BD92" s="7"/>
      <c r="BE92" s="14"/>
      <c r="BF92" s="14"/>
    </row>
    <row r="93" ht="15.0" customHeight="1">
      <c r="A93" s="14"/>
      <c r="B93" s="78"/>
      <c r="BC93" s="82"/>
      <c r="BD93" s="7"/>
      <c r="BE93" s="14"/>
      <c r="BF93" s="14"/>
    </row>
    <row r="94" ht="9.0" customHeight="1">
      <c r="A94" s="14"/>
      <c r="B94" s="8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85"/>
      <c r="BD94" s="7"/>
      <c r="BE94" s="14"/>
      <c r="BF94" s="14"/>
    </row>
    <row r="95" ht="3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7"/>
      <c r="BE95" s="14"/>
      <c r="BF95" s="14"/>
    </row>
    <row r="96" ht="15.0" customHeight="1">
      <c r="A96" s="8"/>
      <c r="B96" s="86" t="s">
        <v>86</v>
      </c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8"/>
      <c r="BD96" s="54"/>
      <c r="BE96" s="8"/>
      <c r="BF96" s="8"/>
    </row>
    <row r="97" ht="3.75" customHeight="1">
      <c r="A97" s="14"/>
      <c r="B97" s="89"/>
      <c r="C97" s="8"/>
      <c r="D97" s="8"/>
      <c r="E97" s="8"/>
      <c r="F97" s="13"/>
      <c r="G97" s="8"/>
      <c r="H97" s="8"/>
      <c r="I97" s="8"/>
      <c r="J97" s="8"/>
      <c r="K97" s="15"/>
      <c r="L97" s="15"/>
      <c r="M97" s="15"/>
      <c r="N97" s="8"/>
      <c r="O97" s="8"/>
      <c r="P97" s="8"/>
      <c r="Q97" s="8"/>
      <c r="R97" s="13"/>
      <c r="S97" s="8"/>
      <c r="T97" s="8"/>
      <c r="U97" s="8"/>
      <c r="V97" s="8"/>
      <c r="W97" s="8"/>
      <c r="X97" s="15"/>
      <c r="Y97" s="15"/>
      <c r="Z97" s="15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1"/>
      <c r="BB97" s="1"/>
      <c r="BC97" s="90"/>
      <c r="BD97" s="91"/>
      <c r="BE97" s="14"/>
      <c r="BF97" s="8"/>
    </row>
    <row r="98" ht="11.25" customHeight="1">
      <c r="A98" s="14"/>
      <c r="B98" s="89"/>
      <c r="C98" s="92" t="s">
        <v>87</v>
      </c>
      <c r="BC98" s="90"/>
      <c r="BD98" s="91"/>
      <c r="BE98" s="14"/>
      <c r="BF98" s="8"/>
    </row>
    <row r="99" ht="11.25" customHeight="1">
      <c r="A99" s="14"/>
      <c r="B99" s="89"/>
      <c r="BC99" s="90"/>
      <c r="BD99" s="91"/>
      <c r="BE99" s="14"/>
      <c r="BF99" s="8"/>
    </row>
    <row r="100" ht="12.0" customHeight="1">
      <c r="A100" s="14"/>
      <c r="B100" s="89"/>
      <c r="C100" s="8"/>
      <c r="D100" s="8"/>
      <c r="E100" s="8"/>
      <c r="F100" s="8"/>
      <c r="G100" s="8"/>
      <c r="H100" s="8"/>
      <c r="I100" s="8"/>
      <c r="J100" s="8"/>
      <c r="K100" s="93" t="s">
        <v>88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1"/>
      <c r="AB100" s="93" t="s">
        <v>89</v>
      </c>
      <c r="AC100" s="12"/>
      <c r="AD100" s="12"/>
      <c r="AE100" s="12"/>
      <c r="AF100" s="12"/>
      <c r="AG100" s="11"/>
      <c r="AH100" s="93" t="s">
        <v>90</v>
      </c>
      <c r="AI100" s="12"/>
      <c r="AJ100" s="12"/>
      <c r="AK100" s="12"/>
      <c r="AL100" s="12"/>
      <c r="AM100" s="11"/>
      <c r="AN100" s="93" t="s">
        <v>91</v>
      </c>
      <c r="AO100" s="12"/>
      <c r="AP100" s="12"/>
      <c r="AQ100" s="12"/>
      <c r="AR100" s="12"/>
      <c r="AS100" s="11"/>
      <c r="AT100" s="93" t="s">
        <v>92</v>
      </c>
      <c r="AU100" s="12"/>
      <c r="AV100" s="12"/>
      <c r="AW100" s="12"/>
      <c r="AX100" s="12"/>
      <c r="AY100" s="11"/>
      <c r="AZ100" s="73"/>
      <c r="BA100" s="1"/>
      <c r="BB100" s="1"/>
      <c r="BC100" s="90"/>
      <c r="BD100" s="91"/>
      <c r="BE100" s="14"/>
      <c r="BF100" s="8"/>
    </row>
    <row r="101" ht="12.0" customHeight="1">
      <c r="A101" s="14"/>
      <c r="B101" s="89"/>
      <c r="C101" s="8"/>
      <c r="D101" s="8"/>
      <c r="E101" s="8"/>
      <c r="F101" s="8"/>
      <c r="G101" s="8"/>
      <c r="H101" s="8"/>
      <c r="I101" s="8"/>
      <c r="J101" s="8"/>
      <c r="K101" s="76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77"/>
      <c r="AB101" s="76"/>
      <c r="AC101" s="23"/>
      <c r="AD101" s="23"/>
      <c r="AE101" s="23"/>
      <c r="AF101" s="23"/>
      <c r="AG101" s="77"/>
      <c r="AH101" s="76"/>
      <c r="AI101" s="23"/>
      <c r="AJ101" s="23"/>
      <c r="AK101" s="23"/>
      <c r="AL101" s="23"/>
      <c r="AM101" s="77"/>
      <c r="AN101" s="76"/>
      <c r="AO101" s="23"/>
      <c r="AP101" s="23"/>
      <c r="AQ101" s="23"/>
      <c r="AR101" s="23"/>
      <c r="AS101" s="77"/>
      <c r="AT101" s="76"/>
      <c r="AU101" s="23"/>
      <c r="AV101" s="23"/>
      <c r="AW101" s="23"/>
      <c r="AX101" s="23"/>
      <c r="AY101" s="77"/>
      <c r="AZ101" s="73"/>
      <c r="BA101" s="1"/>
      <c r="BB101" s="1"/>
      <c r="BC101" s="90"/>
      <c r="BD101" s="91"/>
      <c r="BE101" s="14"/>
      <c r="BF101" s="8"/>
    </row>
    <row r="102" ht="15.0" customHeight="1">
      <c r="A102" s="14"/>
      <c r="B102" s="94"/>
      <c r="C102" s="14"/>
      <c r="D102" s="14"/>
      <c r="E102" s="14"/>
      <c r="F102" s="95"/>
      <c r="G102" s="95"/>
      <c r="H102" s="95"/>
      <c r="I102" s="95"/>
      <c r="J102" s="95"/>
      <c r="K102" s="96" t="s">
        <v>93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8"/>
      <c r="AB102" s="97">
        <v>0.2</v>
      </c>
      <c r="AC102" s="21"/>
      <c r="AD102" s="21"/>
      <c r="AE102" s="21"/>
      <c r="AF102" s="21"/>
      <c r="AG102" s="20"/>
      <c r="AH102" s="59"/>
      <c r="AI102" s="21"/>
      <c r="AJ102" s="21"/>
      <c r="AK102" s="21"/>
      <c r="AL102" s="21"/>
      <c r="AM102" s="20"/>
      <c r="AN102" s="59"/>
      <c r="AO102" s="21"/>
      <c r="AP102" s="21"/>
      <c r="AQ102" s="21"/>
      <c r="AR102" s="21"/>
      <c r="AS102" s="20"/>
      <c r="AT102" s="59"/>
      <c r="AU102" s="21"/>
      <c r="AV102" s="21"/>
      <c r="AW102" s="21"/>
      <c r="AX102" s="21"/>
      <c r="AY102" s="20"/>
      <c r="AZ102" s="14"/>
      <c r="BA102" s="98"/>
      <c r="BB102" s="98"/>
      <c r="BC102" s="99"/>
      <c r="BD102" s="91"/>
      <c r="BE102" s="14"/>
      <c r="BF102" s="95"/>
    </row>
    <row r="103" ht="15.0" customHeight="1">
      <c r="A103" s="14"/>
      <c r="B103" s="94"/>
      <c r="C103" s="14"/>
      <c r="D103" s="14"/>
      <c r="E103" s="14"/>
      <c r="F103" s="95"/>
      <c r="G103" s="95"/>
      <c r="H103" s="95"/>
      <c r="I103" s="95"/>
      <c r="J103" s="95"/>
      <c r="K103" s="96" t="s">
        <v>94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8"/>
      <c r="AB103" s="97">
        <v>0.25</v>
      </c>
      <c r="AC103" s="21"/>
      <c r="AD103" s="21"/>
      <c r="AE103" s="21"/>
      <c r="AF103" s="21"/>
      <c r="AG103" s="20"/>
      <c r="AH103" s="59"/>
      <c r="AI103" s="21"/>
      <c r="AJ103" s="21"/>
      <c r="AK103" s="21"/>
      <c r="AL103" s="21"/>
      <c r="AM103" s="20"/>
      <c r="AN103" s="59"/>
      <c r="AO103" s="21"/>
      <c r="AP103" s="21"/>
      <c r="AQ103" s="21"/>
      <c r="AR103" s="21"/>
      <c r="AS103" s="20"/>
      <c r="AT103" s="59"/>
      <c r="AU103" s="21"/>
      <c r="AV103" s="21"/>
      <c r="AW103" s="21"/>
      <c r="AX103" s="21"/>
      <c r="AY103" s="20"/>
      <c r="AZ103" s="14"/>
      <c r="BA103" s="98"/>
      <c r="BB103" s="98"/>
      <c r="BC103" s="99"/>
      <c r="BD103" s="91"/>
      <c r="BE103" s="14"/>
      <c r="BF103" s="95"/>
    </row>
    <row r="104" ht="15.0" customHeight="1">
      <c r="A104" s="14"/>
      <c r="B104" s="94"/>
      <c r="C104" s="14"/>
      <c r="D104" s="14"/>
      <c r="E104" s="14"/>
      <c r="F104" s="95"/>
      <c r="G104" s="95"/>
      <c r="H104" s="95"/>
      <c r="I104" s="95"/>
      <c r="J104" s="95"/>
      <c r="K104" s="96" t="s">
        <v>95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8"/>
      <c r="AB104" s="97">
        <v>0.15</v>
      </c>
      <c r="AC104" s="21"/>
      <c r="AD104" s="21"/>
      <c r="AE104" s="21"/>
      <c r="AF104" s="21"/>
      <c r="AG104" s="20"/>
      <c r="AH104" s="59"/>
      <c r="AI104" s="21"/>
      <c r="AJ104" s="21"/>
      <c r="AK104" s="21"/>
      <c r="AL104" s="21"/>
      <c r="AM104" s="20"/>
      <c r="AN104" s="59"/>
      <c r="AO104" s="21"/>
      <c r="AP104" s="21"/>
      <c r="AQ104" s="21"/>
      <c r="AR104" s="21"/>
      <c r="AS104" s="20"/>
      <c r="AT104" s="59"/>
      <c r="AU104" s="21"/>
      <c r="AV104" s="21"/>
      <c r="AW104" s="21"/>
      <c r="AX104" s="21"/>
      <c r="AY104" s="20"/>
      <c r="AZ104" s="14"/>
      <c r="BA104" s="98"/>
      <c r="BB104" s="98"/>
      <c r="BC104" s="99"/>
      <c r="BD104" s="91"/>
      <c r="BE104" s="14"/>
      <c r="BF104" s="95"/>
    </row>
    <row r="105" ht="15.0" customHeight="1">
      <c r="A105" s="14"/>
      <c r="B105" s="94"/>
      <c r="C105" s="14"/>
      <c r="D105" s="14"/>
      <c r="E105" s="14"/>
      <c r="F105" s="95"/>
      <c r="G105" s="95"/>
      <c r="H105" s="95"/>
      <c r="I105" s="95"/>
      <c r="J105" s="95"/>
      <c r="K105" s="96" t="s">
        <v>96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8"/>
      <c r="AB105" s="97">
        <v>0.2</v>
      </c>
      <c r="AC105" s="21"/>
      <c r="AD105" s="21"/>
      <c r="AE105" s="21"/>
      <c r="AF105" s="21"/>
      <c r="AG105" s="20"/>
      <c r="AH105" s="59"/>
      <c r="AI105" s="21"/>
      <c r="AJ105" s="21"/>
      <c r="AK105" s="21"/>
      <c r="AL105" s="21"/>
      <c r="AM105" s="20"/>
      <c r="AN105" s="59"/>
      <c r="AO105" s="21"/>
      <c r="AP105" s="21"/>
      <c r="AQ105" s="21"/>
      <c r="AR105" s="21"/>
      <c r="AS105" s="20"/>
      <c r="AT105" s="59"/>
      <c r="AU105" s="21"/>
      <c r="AV105" s="21"/>
      <c r="AW105" s="21"/>
      <c r="AX105" s="21"/>
      <c r="AY105" s="20"/>
      <c r="AZ105" s="14"/>
      <c r="BA105" s="98"/>
      <c r="BB105" s="98"/>
      <c r="BC105" s="99"/>
      <c r="BD105" s="91"/>
      <c r="BE105" s="14"/>
      <c r="BF105" s="95"/>
    </row>
    <row r="106" ht="15.0" customHeight="1">
      <c r="A106" s="14"/>
      <c r="B106" s="94"/>
      <c r="C106" s="14"/>
      <c r="D106" s="14"/>
      <c r="E106" s="14"/>
      <c r="F106" s="95"/>
      <c r="G106" s="95"/>
      <c r="H106" s="95"/>
      <c r="I106" s="95"/>
      <c r="J106" s="95"/>
      <c r="K106" s="96" t="s">
        <v>97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8"/>
      <c r="AB106" s="97">
        <v>0.15</v>
      </c>
      <c r="AC106" s="21"/>
      <c r="AD106" s="21"/>
      <c r="AE106" s="21"/>
      <c r="AF106" s="21"/>
      <c r="AG106" s="20"/>
      <c r="AH106" s="59"/>
      <c r="AI106" s="21"/>
      <c r="AJ106" s="21"/>
      <c r="AK106" s="21"/>
      <c r="AL106" s="21"/>
      <c r="AM106" s="20"/>
      <c r="AN106" s="59"/>
      <c r="AO106" s="21"/>
      <c r="AP106" s="21"/>
      <c r="AQ106" s="21"/>
      <c r="AR106" s="21"/>
      <c r="AS106" s="20"/>
      <c r="AT106" s="59"/>
      <c r="AU106" s="21"/>
      <c r="AV106" s="21"/>
      <c r="AW106" s="21"/>
      <c r="AX106" s="21"/>
      <c r="AY106" s="20"/>
      <c r="AZ106" s="14"/>
      <c r="BA106" s="98"/>
      <c r="BB106" s="98"/>
      <c r="BC106" s="99"/>
      <c r="BD106" s="91"/>
      <c r="BE106" s="14"/>
      <c r="BF106" s="95"/>
    </row>
    <row r="107" ht="11.25" customHeight="1">
      <c r="A107" s="14"/>
      <c r="B107" s="94"/>
      <c r="C107" s="14"/>
      <c r="D107" s="14"/>
      <c r="E107" s="14"/>
      <c r="F107" s="95"/>
      <c r="G107" s="95"/>
      <c r="H107" s="95"/>
      <c r="I107" s="95"/>
      <c r="J107" s="95"/>
      <c r="K107" s="96" t="s">
        <v>98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8"/>
      <c r="AB107" s="97">
        <v>0.05</v>
      </c>
      <c r="AC107" s="21"/>
      <c r="AD107" s="21"/>
      <c r="AE107" s="21"/>
      <c r="AF107" s="21"/>
      <c r="AG107" s="20"/>
      <c r="AH107" s="59"/>
      <c r="AI107" s="21"/>
      <c r="AJ107" s="21"/>
      <c r="AK107" s="21"/>
      <c r="AL107" s="21"/>
      <c r="AM107" s="20"/>
      <c r="AN107" s="59"/>
      <c r="AO107" s="21"/>
      <c r="AP107" s="21"/>
      <c r="AQ107" s="21"/>
      <c r="AR107" s="21"/>
      <c r="AS107" s="20"/>
      <c r="AT107" s="59"/>
      <c r="AU107" s="21"/>
      <c r="AV107" s="21"/>
      <c r="AW107" s="21"/>
      <c r="AX107" s="21"/>
      <c r="AY107" s="20"/>
      <c r="AZ107" s="14"/>
      <c r="BA107" s="98"/>
      <c r="BB107" s="98"/>
      <c r="BC107" s="99"/>
      <c r="BD107" s="91"/>
      <c r="BE107" s="14"/>
      <c r="BF107" s="95"/>
    </row>
    <row r="108" ht="15.0" customHeight="1">
      <c r="A108" s="14"/>
      <c r="B108" s="94"/>
      <c r="C108" s="14"/>
      <c r="D108" s="14"/>
      <c r="E108" s="14"/>
      <c r="F108" s="95"/>
      <c r="G108" s="95"/>
      <c r="H108" s="95"/>
      <c r="I108" s="95"/>
      <c r="J108" s="95"/>
      <c r="K108" s="86" t="s">
        <v>99</v>
      </c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1"/>
      <c r="AB108" s="97">
        <f>+SUM(AB102:AG107)</f>
        <v>1</v>
      </c>
      <c r="AC108" s="21"/>
      <c r="AD108" s="21"/>
      <c r="AE108" s="21"/>
      <c r="AF108" s="21"/>
      <c r="AG108" s="20"/>
      <c r="AH108" s="59">
        <f>(((IF(AH102="x",1,0))*$AB$102+(IF(AH103="x",1,0))*$AB$103+(IF(AH104="x",1,0))*$AB$104+(IF(AH105="x",1,0))*$AB$105+(IF(AH106="x",1,0))*$AB$106+(IF(AH107="x",1,0))*$AB$107)*5)</f>
        <v>0</v>
      </c>
      <c r="AI108" s="21"/>
      <c r="AJ108" s="21"/>
      <c r="AK108" s="21"/>
      <c r="AL108" s="21"/>
      <c r="AM108" s="20"/>
      <c r="AN108" s="59">
        <f>(((IF(AN102="x",1,0))*$AB$102+(IF(AN103="x",1,0))*$AB$103+(IF(AN104="x",1,0))*$AB$104+(IF(AN105="x",1,0))*$AB$105+(IF(AN106="x",1,0))*$AB$106+(IF(AN107="x",1,0))*$AB$107)*3)</f>
        <v>0</v>
      </c>
      <c r="AO108" s="21"/>
      <c r="AP108" s="21"/>
      <c r="AQ108" s="21"/>
      <c r="AR108" s="21"/>
      <c r="AS108" s="20"/>
      <c r="AT108" s="59">
        <f>(((IF(AT102="x",1,0))*$AB$102+(IF(AT103="x",1,0))*$AB$103+(IF(AT104="x",1,0))*$AB$104+(IF(AT105="x",1,0))*$AB$105+(IF(AT106="x",1,0))*$AB$106+(IF(AT107="x",1,0))*$AB$107)*1)</f>
        <v>0</v>
      </c>
      <c r="AU108" s="21"/>
      <c r="AV108" s="21"/>
      <c r="AW108" s="21"/>
      <c r="AX108" s="21"/>
      <c r="AY108" s="20"/>
      <c r="AZ108" s="79"/>
      <c r="BA108" s="98"/>
      <c r="BB108" s="98"/>
      <c r="BC108" s="99"/>
      <c r="BD108" s="91"/>
      <c r="BE108" s="14"/>
      <c r="BF108" s="95"/>
    </row>
    <row r="109" ht="4.5" customHeight="1">
      <c r="A109" s="14"/>
      <c r="B109" s="89"/>
      <c r="C109" s="8"/>
      <c r="D109" s="8"/>
      <c r="E109" s="8"/>
      <c r="F109" s="8"/>
      <c r="G109" s="8"/>
      <c r="H109" s="8"/>
      <c r="I109" s="8"/>
      <c r="J109" s="8"/>
      <c r="K109" s="54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79"/>
      <c r="AU109" s="79"/>
      <c r="AV109" s="79"/>
      <c r="AW109" s="79"/>
      <c r="AX109" s="79"/>
      <c r="AY109" s="79"/>
      <c r="AZ109" s="79"/>
      <c r="BA109" s="1"/>
      <c r="BB109" s="1"/>
      <c r="BC109" s="90"/>
      <c r="BD109" s="91"/>
      <c r="BE109" s="14"/>
      <c r="BF109" s="8"/>
    </row>
    <row r="110" ht="10.5" customHeight="1">
      <c r="A110" s="14"/>
      <c r="B110" s="89"/>
      <c r="C110" s="8"/>
      <c r="D110" s="8"/>
      <c r="E110" s="8"/>
      <c r="F110" s="8"/>
      <c r="G110" s="8"/>
      <c r="H110" s="8"/>
      <c r="I110" s="8"/>
      <c r="J110" s="8"/>
      <c r="K110" s="54" t="s">
        <v>100</v>
      </c>
      <c r="L110" s="102"/>
      <c r="M110" s="102"/>
      <c r="N110" s="102"/>
      <c r="O110" s="102"/>
      <c r="P110" s="102"/>
      <c r="Q110" s="102"/>
      <c r="R110" s="102"/>
      <c r="S110" s="103">
        <f>+SUM(AH108:AY108)</f>
        <v>0</v>
      </c>
      <c r="T110" s="21"/>
      <c r="U110" s="21"/>
      <c r="V110" s="21"/>
      <c r="W110" s="21"/>
      <c r="X110" s="20"/>
      <c r="Y110" s="102"/>
      <c r="Z110" s="102"/>
      <c r="AA110" s="102"/>
      <c r="AB110" s="8"/>
      <c r="AC110" s="8"/>
      <c r="AD110" s="8"/>
      <c r="AE110" s="8"/>
      <c r="AF110" s="104" t="str">
        <f>IF(S110&lt;3.59,"x"," ")</f>
        <v>x</v>
      </c>
      <c r="AG110" s="79" t="s">
        <v>101</v>
      </c>
      <c r="AH110" s="8"/>
      <c r="AI110" s="8"/>
      <c r="AJ110" s="79"/>
      <c r="AK110" s="79"/>
      <c r="AL110" s="105" t="s">
        <v>102</v>
      </c>
      <c r="AM110" s="106">
        <v>3.6</v>
      </c>
      <c r="AO110" s="8"/>
      <c r="AP110" s="8"/>
      <c r="AQ110" s="107" t="str">
        <f>IF(S110&gt;=3.6,"x"," ")</f>
        <v> </v>
      </c>
      <c r="AR110" s="54" t="s">
        <v>103</v>
      </c>
      <c r="AS110" s="8"/>
      <c r="AT110" s="8"/>
      <c r="AU110" s="8"/>
      <c r="AV110" s="8"/>
      <c r="AW110" s="54" t="s">
        <v>104</v>
      </c>
      <c r="AX110" s="8"/>
      <c r="AY110" s="1"/>
      <c r="AZ110" s="8"/>
      <c r="BA110" s="8"/>
      <c r="BB110" s="8"/>
      <c r="BC110" s="90"/>
      <c r="BD110" s="91"/>
      <c r="BE110" s="14"/>
      <c r="BF110" s="8"/>
    </row>
    <row r="111" ht="10.5" customHeight="1">
      <c r="A111" s="14"/>
      <c r="B111" s="89"/>
      <c r="C111" s="8"/>
      <c r="D111" s="8"/>
      <c r="E111" s="8"/>
      <c r="F111" s="8"/>
      <c r="G111" s="8"/>
      <c r="H111" s="8"/>
      <c r="I111" s="8"/>
      <c r="J111" s="8"/>
      <c r="K111" s="54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8"/>
      <c r="AC111" s="8"/>
      <c r="AD111" s="8"/>
      <c r="AE111" s="8"/>
      <c r="AF111" s="8"/>
      <c r="AG111" s="8"/>
      <c r="AH111" s="79"/>
      <c r="AI111" s="8"/>
      <c r="AJ111" s="8"/>
      <c r="AK111" s="8"/>
      <c r="AL111" s="79"/>
      <c r="AM111" s="79"/>
      <c r="AN111" s="79"/>
      <c r="AO111" s="79"/>
      <c r="AP111" s="79"/>
      <c r="AQ111" s="79"/>
      <c r="AR111" s="79"/>
      <c r="AS111" s="79"/>
      <c r="AT111" s="8"/>
      <c r="AU111" s="8"/>
      <c r="AV111" s="8"/>
      <c r="AW111" s="8"/>
      <c r="AX111" s="8"/>
      <c r="AY111" s="8"/>
      <c r="AZ111" s="8"/>
      <c r="BA111" s="8"/>
      <c r="BB111" s="1"/>
      <c r="BC111" s="90"/>
      <c r="BD111" s="91"/>
      <c r="BE111" s="14"/>
      <c r="BF111" s="8"/>
    </row>
    <row r="112" ht="9.75" customHeight="1">
      <c r="A112" s="14"/>
      <c r="B112" s="89"/>
      <c r="C112" s="8" t="s">
        <v>105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90"/>
      <c r="BD112" s="91"/>
      <c r="BE112" s="14"/>
      <c r="BF112" s="8"/>
    </row>
    <row r="113" ht="16.5" customHeight="1">
      <c r="A113" s="14"/>
      <c r="B113" s="108"/>
      <c r="C113" s="109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90"/>
      <c r="BD113" s="91"/>
      <c r="BE113" s="14"/>
      <c r="BF113" s="8"/>
    </row>
    <row r="114" ht="16.5" customHeight="1">
      <c r="A114" s="14"/>
      <c r="B114" s="89"/>
      <c r="C114" s="110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90"/>
      <c r="BD114" s="91"/>
      <c r="BE114" s="14"/>
      <c r="BF114" s="8"/>
    </row>
    <row r="115" ht="3.75" customHeight="1">
      <c r="A115" s="14"/>
      <c r="B115" s="111"/>
      <c r="C115" s="22"/>
      <c r="D115" s="22"/>
      <c r="E115" s="22"/>
      <c r="F115" s="2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3"/>
      <c r="AM115" s="113"/>
      <c r="AN115" s="113"/>
      <c r="AO115" s="113"/>
      <c r="AP115" s="113"/>
      <c r="AQ115" s="113"/>
      <c r="AR115" s="17"/>
      <c r="AS115" s="17"/>
      <c r="AT115" s="17"/>
      <c r="AU115" s="17"/>
      <c r="AV115" s="17"/>
      <c r="AW115" s="17"/>
      <c r="AX115" s="114"/>
      <c r="AY115" s="114"/>
      <c r="AZ115" s="114"/>
      <c r="BA115" s="114"/>
      <c r="BB115" s="114"/>
      <c r="BC115" s="115"/>
      <c r="BD115" s="91"/>
      <c r="BE115" s="14"/>
      <c r="BF115" s="8"/>
    </row>
    <row r="116" ht="3.75" customHeight="1">
      <c r="A116" s="14"/>
      <c r="B116" s="91"/>
      <c r="C116" s="91"/>
      <c r="D116" s="91"/>
      <c r="E116" s="91"/>
      <c r="F116" s="9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7"/>
      <c r="AR116" s="91"/>
      <c r="AX116" s="91"/>
      <c r="BD116" s="91"/>
      <c r="BE116" s="14"/>
      <c r="BF116" s="8"/>
    </row>
    <row r="117" ht="11.25" customHeight="1">
      <c r="A117" s="14"/>
      <c r="B117" s="118" t="s">
        <v>106</v>
      </c>
      <c r="C117" s="119"/>
      <c r="D117" s="119"/>
      <c r="E117" s="119"/>
      <c r="F117" s="119"/>
      <c r="G117" s="120"/>
      <c r="H117" s="120"/>
      <c r="I117" s="120"/>
      <c r="J117" s="120"/>
      <c r="K117" s="120"/>
      <c r="L117" s="121"/>
      <c r="M117" s="24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3"/>
      <c r="BD117" s="91"/>
      <c r="BE117" s="14"/>
      <c r="BF117" s="8"/>
    </row>
    <row r="118" ht="18.0" customHeight="1">
      <c r="A118" s="14"/>
      <c r="B118" s="124"/>
      <c r="C118" s="8" t="s">
        <v>107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31"/>
      <c r="S118" s="40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90"/>
      <c r="BD118" s="91"/>
      <c r="BE118" s="14"/>
      <c r="BF118" s="8"/>
    </row>
    <row r="119" ht="18.0" customHeight="1">
      <c r="A119" s="14"/>
      <c r="B119" s="124"/>
      <c r="C119" s="8" t="s">
        <v>108</v>
      </c>
      <c r="D119" s="9"/>
      <c r="E119" s="9"/>
      <c r="F119" s="9"/>
      <c r="G119" s="9"/>
      <c r="H119" s="125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1"/>
      <c r="AD119" s="8" t="s">
        <v>109</v>
      </c>
      <c r="AE119" s="1"/>
      <c r="AF119" s="1"/>
      <c r="AG119" s="1"/>
      <c r="AH119" s="31"/>
      <c r="AI119" s="40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90"/>
      <c r="BD119" s="91"/>
      <c r="BE119" s="14"/>
      <c r="BF119" s="8"/>
    </row>
    <row r="120" ht="4.5" customHeight="1">
      <c r="A120" s="14"/>
      <c r="B120" s="111"/>
      <c r="C120" s="22"/>
      <c r="D120" s="22"/>
      <c r="E120" s="22"/>
      <c r="F120" s="2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26"/>
      <c r="AM120" s="23"/>
      <c r="AN120" s="23"/>
      <c r="AO120" s="23"/>
      <c r="AP120" s="23"/>
      <c r="AQ120" s="23"/>
      <c r="AR120" s="22"/>
      <c r="AS120" s="23"/>
      <c r="AT120" s="23"/>
      <c r="AU120" s="23"/>
      <c r="AV120" s="23"/>
      <c r="AW120" s="23"/>
      <c r="AX120" s="22"/>
      <c r="AY120" s="23"/>
      <c r="AZ120" s="23"/>
      <c r="BA120" s="23"/>
      <c r="BB120" s="23"/>
      <c r="BC120" s="77"/>
      <c r="BD120" s="91"/>
      <c r="BE120" s="14"/>
      <c r="BF120" s="8"/>
    </row>
    <row r="121" ht="14.25" customHeight="1">
      <c r="A121" s="69"/>
      <c r="B121" s="69" t="s">
        <v>78</v>
      </c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70" t="s">
        <v>79</v>
      </c>
      <c r="BD121" s="69"/>
      <c r="BE121" s="69"/>
      <c r="BF121" s="69"/>
    </row>
    <row r="122" ht="11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</row>
    <row r="123" ht="11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</row>
    <row r="124" ht="11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</row>
    <row r="125" ht="11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</row>
    <row r="126" ht="11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</row>
    <row r="127" ht="11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</row>
    <row r="128" ht="11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</row>
    <row r="129" ht="11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</row>
    <row r="130" ht="11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</row>
    <row r="131" ht="11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</row>
    <row r="132" ht="11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</row>
    <row r="133" ht="11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</row>
    <row r="134" ht="11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</row>
    <row r="135" ht="11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</row>
    <row r="136" ht="11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</row>
    <row r="137" ht="11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</row>
    <row r="138" ht="11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</row>
    <row r="139" ht="11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</row>
    <row r="140" ht="11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</row>
    <row r="141" ht="11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</row>
    <row r="142" ht="11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</row>
    <row r="143" ht="11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</row>
    <row r="144" ht="11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</row>
    <row r="145" ht="11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</row>
    <row r="146" ht="11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</row>
    <row r="147" ht="11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</row>
    <row r="148" ht="11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</row>
    <row r="149" ht="11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</row>
    <row r="150" ht="11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</row>
    <row r="151" ht="11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</row>
    <row r="152" ht="11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</row>
    <row r="153" ht="11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</row>
    <row r="154" ht="11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</row>
    <row r="155" ht="11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</row>
    <row r="156" ht="11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</row>
    <row r="157" ht="11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</row>
    <row r="158" ht="11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</row>
    <row r="159" ht="11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</row>
    <row r="160" ht="11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</row>
    <row r="161" ht="11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</row>
    <row r="162" ht="11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</row>
    <row r="163" ht="11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</row>
    <row r="164" ht="11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</row>
    <row r="165" ht="11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</row>
    <row r="166" ht="11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</row>
    <row r="167" ht="11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</row>
    <row r="168" ht="11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</row>
    <row r="169" ht="11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</row>
    <row r="170" ht="11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</row>
    <row r="171" ht="11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</row>
    <row r="172" ht="11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</row>
    <row r="173" ht="11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</row>
    <row r="174" ht="11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</row>
    <row r="175" ht="11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</row>
    <row r="176" ht="11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</row>
    <row r="177" ht="11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</row>
    <row r="178" ht="11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</row>
    <row r="179" ht="11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</row>
    <row r="180" ht="11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</row>
    <row r="181" ht="11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</row>
    <row r="182" ht="11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</row>
    <row r="183" ht="11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</row>
    <row r="184" ht="11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</row>
    <row r="185" ht="11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</row>
    <row r="186" ht="11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</row>
    <row r="187" ht="11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</row>
    <row r="188" ht="11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</row>
    <row r="189" ht="11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</row>
    <row r="190" ht="11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</row>
    <row r="191" ht="11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</row>
    <row r="192" ht="11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</row>
    <row r="193" ht="11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</row>
    <row r="194" ht="11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</row>
    <row r="195" ht="11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</row>
    <row r="196" ht="11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</row>
    <row r="197" ht="11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</row>
    <row r="198" ht="11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</row>
    <row r="199" ht="11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</row>
    <row r="200" ht="11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</row>
    <row r="201" ht="11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</row>
    <row r="202" ht="11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</row>
    <row r="203" ht="11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</row>
    <row r="204" ht="11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</row>
    <row r="205" ht="11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</row>
    <row r="206" ht="11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</row>
    <row r="207" ht="11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</row>
    <row r="208" ht="11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</row>
    <row r="209" ht="11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</row>
    <row r="210" ht="11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</row>
    <row r="211" ht="11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</row>
    <row r="212" ht="11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</row>
    <row r="213" ht="11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</row>
    <row r="214" ht="11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</row>
    <row r="215" ht="11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</row>
    <row r="216" ht="11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</row>
    <row r="217" ht="11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</row>
    <row r="218" ht="11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</row>
    <row r="219" ht="11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</row>
    <row r="220" ht="11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</row>
    <row r="221" ht="11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</row>
    <row r="222" ht="11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</row>
    <row r="223" ht="11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</row>
    <row r="224" ht="11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</row>
    <row r="225" ht="11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</row>
    <row r="226" ht="11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</row>
    <row r="227" ht="11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</row>
    <row r="228" ht="11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</row>
    <row r="229" ht="11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</row>
    <row r="230" ht="11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</row>
    <row r="231" ht="11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</row>
    <row r="232" ht="11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</row>
    <row r="233" ht="11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</row>
    <row r="234" ht="11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</row>
    <row r="235" ht="11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</row>
    <row r="236" ht="11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</row>
    <row r="237" ht="11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</row>
    <row r="238" ht="11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</row>
    <row r="239" ht="11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</row>
    <row r="240" ht="11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</row>
    <row r="241" ht="11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</row>
    <row r="242" ht="11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</row>
    <row r="243" ht="11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</row>
    <row r="244" ht="11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</row>
    <row r="245" ht="11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</row>
    <row r="246" ht="11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</row>
    <row r="247" ht="11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</row>
    <row r="248" ht="11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</row>
    <row r="249" ht="11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</row>
    <row r="250" ht="11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</row>
    <row r="251" ht="11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</row>
    <row r="252" ht="11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</row>
    <row r="253" ht="11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</row>
    <row r="254" ht="11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</row>
    <row r="255" ht="11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</row>
    <row r="256" ht="11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</row>
    <row r="257" ht="11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</row>
    <row r="258" ht="11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</row>
    <row r="259" ht="11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</row>
    <row r="260" ht="11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</row>
    <row r="261" ht="11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</row>
    <row r="262" ht="11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</row>
    <row r="263" ht="11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</row>
    <row r="264" ht="11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</row>
    <row r="265" ht="11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</row>
    <row r="266" ht="11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</row>
    <row r="267" ht="11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</row>
    <row r="268" ht="11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</row>
    <row r="269" ht="11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</row>
    <row r="270" ht="11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</row>
    <row r="271" ht="11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</row>
    <row r="272" ht="11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</row>
    <row r="273" ht="11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</row>
    <row r="274" ht="11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</row>
    <row r="275" ht="11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</row>
    <row r="276" ht="11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</row>
    <row r="277" ht="11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</row>
    <row r="278" ht="11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</row>
    <row r="279" ht="11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</row>
    <row r="280" ht="11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</row>
    <row r="281" ht="11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</row>
    <row r="282" ht="11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</row>
    <row r="283" ht="11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</row>
    <row r="284" ht="11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</row>
    <row r="285" ht="11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</row>
    <row r="286" ht="11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</row>
    <row r="287" ht="11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</row>
    <row r="288" ht="11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</row>
    <row r="289" ht="11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</row>
    <row r="290" ht="11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</row>
    <row r="291" ht="11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</row>
    <row r="292" ht="11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</row>
    <row r="293" ht="11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</row>
    <row r="294" ht="11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</row>
    <row r="295" ht="11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</row>
    <row r="296" ht="11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</row>
    <row r="297" ht="11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</row>
    <row r="298" ht="11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</row>
    <row r="299" ht="11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</row>
    <row r="300" ht="11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</row>
    <row r="301" ht="11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</row>
    <row r="302" ht="11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</row>
    <row r="303" ht="11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</row>
    <row r="304" ht="11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</row>
    <row r="305" ht="11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</row>
    <row r="306" ht="11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</row>
    <row r="307" ht="11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</row>
    <row r="308" ht="11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</row>
    <row r="309" ht="11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</row>
    <row r="310" ht="11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</row>
    <row r="311" ht="11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</row>
    <row r="312" ht="11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</row>
    <row r="313" ht="11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</row>
    <row r="314" ht="11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</row>
    <row r="315" ht="11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</row>
    <row r="316" ht="11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</row>
    <row r="317" ht="11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</row>
    <row r="318" ht="11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</row>
    <row r="319" ht="11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</row>
    <row r="320" ht="11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</row>
    <row r="321" ht="11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</row>
    <row r="322" ht="11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</row>
    <row r="323" ht="11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</row>
    <row r="324" ht="11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</row>
    <row r="325" ht="11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</row>
    <row r="326" ht="11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</row>
    <row r="327" ht="11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</row>
    <row r="328" ht="11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</row>
    <row r="329" ht="11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</row>
    <row r="330" ht="11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</row>
    <row r="331" ht="11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</row>
    <row r="332" ht="11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</row>
    <row r="333" ht="11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</row>
    <row r="334" ht="11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</row>
    <row r="335" ht="11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</row>
    <row r="336" ht="11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</row>
    <row r="337" ht="11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</row>
    <row r="338" ht="11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</row>
    <row r="339" ht="11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</row>
    <row r="340" ht="11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</row>
    <row r="341" ht="11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</row>
    <row r="342" ht="11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</row>
    <row r="343" ht="11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</row>
    <row r="344" ht="11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</row>
    <row r="345" ht="11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</row>
    <row r="346" ht="11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</row>
    <row r="347" ht="11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</row>
    <row r="348" ht="11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</row>
    <row r="349" ht="11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</row>
    <row r="350" ht="11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</row>
    <row r="351" ht="11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</row>
    <row r="352" ht="11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</row>
    <row r="353" ht="11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</row>
    <row r="354" ht="11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</row>
    <row r="355" ht="11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</row>
    <row r="356" ht="11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</row>
    <row r="357" ht="11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</row>
    <row r="358" ht="11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</row>
    <row r="359" ht="11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</row>
    <row r="360" ht="11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</row>
    <row r="361" ht="11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</row>
    <row r="362" ht="11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</row>
    <row r="363" ht="11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</row>
    <row r="364" ht="11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</row>
    <row r="365" ht="11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</row>
    <row r="366" ht="11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</row>
    <row r="367" ht="11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</row>
    <row r="368" ht="11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</row>
    <row r="369" ht="11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</row>
    <row r="370" ht="11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</row>
    <row r="371" ht="11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</row>
    <row r="372" ht="11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</row>
    <row r="373" ht="11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</row>
    <row r="374" ht="11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</row>
    <row r="375" ht="11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</row>
    <row r="376" ht="11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</row>
    <row r="377" ht="11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</row>
    <row r="378" ht="11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</row>
    <row r="379" ht="11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</row>
    <row r="380" ht="11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</row>
    <row r="381" ht="11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</row>
    <row r="382" ht="11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</row>
    <row r="383" ht="11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</row>
    <row r="384" ht="11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</row>
    <row r="385" ht="11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</row>
    <row r="386" ht="11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</row>
    <row r="387" ht="11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</row>
    <row r="388" ht="11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</row>
    <row r="389" ht="11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</row>
    <row r="390" ht="11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</row>
    <row r="391" ht="11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</row>
    <row r="392" ht="11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</row>
    <row r="393" ht="11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</row>
    <row r="394" ht="11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</row>
    <row r="395" ht="11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</row>
    <row r="396" ht="11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</row>
    <row r="397" ht="11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</row>
    <row r="398" ht="11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</row>
    <row r="399" ht="11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</row>
    <row r="400" ht="11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</row>
    <row r="401" ht="11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</row>
    <row r="402" ht="11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</row>
    <row r="403" ht="11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</row>
    <row r="404" ht="11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</row>
    <row r="405" ht="11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</row>
    <row r="406" ht="11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</row>
    <row r="407" ht="11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</row>
    <row r="408" ht="11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</row>
    <row r="409" ht="11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</row>
    <row r="410" ht="11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</row>
    <row r="411" ht="11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</row>
    <row r="412" ht="11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</row>
    <row r="413" ht="11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</row>
    <row r="414" ht="11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</row>
    <row r="415" ht="11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</row>
    <row r="416" ht="11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</row>
    <row r="417" ht="11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</row>
    <row r="418" ht="11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</row>
    <row r="419" ht="11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</row>
    <row r="420" ht="11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</row>
    <row r="421" ht="11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</row>
    <row r="422" ht="11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</row>
    <row r="423" ht="11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</row>
    <row r="424" ht="11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</row>
    <row r="425" ht="11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</row>
    <row r="426" ht="11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</row>
    <row r="427" ht="11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</row>
    <row r="428" ht="11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</row>
    <row r="429" ht="11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</row>
    <row r="430" ht="11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</row>
    <row r="431" ht="11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</row>
    <row r="432" ht="11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</row>
    <row r="433" ht="11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</row>
    <row r="434" ht="11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</row>
    <row r="435" ht="11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</row>
    <row r="436" ht="11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</row>
    <row r="437" ht="11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</row>
    <row r="438" ht="11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</row>
    <row r="439" ht="11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</row>
    <row r="440" ht="11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</row>
    <row r="441" ht="11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</row>
    <row r="442" ht="11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</row>
    <row r="443" ht="11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</row>
    <row r="444" ht="11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</row>
    <row r="445" ht="11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</row>
    <row r="446" ht="11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</row>
    <row r="447" ht="11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</row>
    <row r="448" ht="11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</row>
    <row r="449" ht="11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</row>
    <row r="450" ht="11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</row>
    <row r="451" ht="11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</row>
    <row r="452" ht="11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</row>
    <row r="453" ht="11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</row>
    <row r="454" ht="11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</row>
    <row r="455" ht="11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</row>
    <row r="456" ht="11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</row>
    <row r="457" ht="11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</row>
    <row r="458" ht="11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</row>
    <row r="459" ht="11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</row>
    <row r="460" ht="11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</row>
    <row r="461" ht="11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</row>
    <row r="462" ht="11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</row>
    <row r="463" ht="11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</row>
    <row r="464" ht="11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</row>
    <row r="465" ht="11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</row>
    <row r="466" ht="11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</row>
    <row r="467" ht="11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</row>
    <row r="468" ht="11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</row>
    <row r="469" ht="11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</row>
    <row r="470" ht="11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</row>
    <row r="471" ht="11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</row>
    <row r="472" ht="11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</row>
    <row r="473" ht="11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</row>
    <row r="474" ht="11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</row>
    <row r="475" ht="11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</row>
    <row r="476" ht="11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</row>
    <row r="477" ht="11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</row>
    <row r="478" ht="11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</row>
    <row r="479" ht="11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</row>
    <row r="480" ht="11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</row>
    <row r="481" ht="11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</row>
    <row r="482" ht="11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</row>
    <row r="483" ht="11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</row>
    <row r="484" ht="11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</row>
    <row r="485" ht="11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</row>
    <row r="486" ht="11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</row>
    <row r="487" ht="11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</row>
    <row r="488" ht="11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</row>
    <row r="489" ht="11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</row>
    <row r="490" ht="11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</row>
    <row r="491" ht="11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</row>
    <row r="492" ht="11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</row>
    <row r="493" ht="11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</row>
    <row r="494" ht="11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</row>
    <row r="495" ht="11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</row>
    <row r="496" ht="11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</row>
    <row r="497" ht="11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</row>
    <row r="498" ht="11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</row>
    <row r="499" ht="11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</row>
    <row r="500" ht="11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</row>
    <row r="501" ht="11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</row>
    <row r="502" ht="11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</row>
    <row r="503" ht="11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</row>
    <row r="504" ht="11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</row>
    <row r="505" ht="11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</row>
    <row r="506" ht="11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</row>
    <row r="507" ht="11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</row>
    <row r="508" ht="11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</row>
    <row r="509" ht="11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</row>
    <row r="510" ht="11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</row>
    <row r="511" ht="11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</row>
    <row r="512" ht="11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</row>
    <row r="513" ht="11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</row>
    <row r="514" ht="11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</row>
    <row r="515" ht="11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</row>
    <row r="516" ht="11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</row>
    <row r="517" ht="11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</row>
    <row r="518" ht="11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</row>
    <row r="519" ht="11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</row>
    <row r="520" ht="11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</row>
    <row r="521" ht="11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</row>
    <row r="522" ht="11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</row>
    <row r="523" ht="11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</row>
    <row r="524" ht="11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</row>
    <row r="525" ht="11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</row>
    <row r="526" ht="11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</row>
    <row r="527" ht="11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</row>
    <row r="528" ht="11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</row>
    <row r="529" ht="11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</row>
    <row r="530" ht="11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</row>
    <row r="531" ht="11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</row>
    <row r="532" ht="11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</row>
    <row r="533" ht="11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</row>
    <row r="534" ht="11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</row>
    <row r="535" ht="11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</row>
    <row r="536" ht="11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</row>
    <row r="537" ht="11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</row>
    <row r="538" ht="11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</row>
    <row r="539" ht="11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</row>
    <row r="540" ht="11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</row>
    <row r="541" ht="11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</row>
    <row r="542" ht="11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</row>
    <row r="543" ht="11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</row>
    <row r="544" ht="11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</row>
    <row r="545" ht="11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</row>
    <row r="546" ht="11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</row>
    <row r="547" ht="11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</row>
    <row r="548" ht="11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</row>
    <row r="549" ht="11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</row>
    <row r="550" ht="11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</row>
    <row r="551" ht="11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</row>
    <row r="552" ht="11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</row>
    <row r="553" ht="11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</row>
    <row r="554" ht="11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</row>
    <row r="555" ht="11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</row>
    <row r="556" ht="11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</row>
    <row r="557" ht="11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</row>
    <row r="558" ht="11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</row>
    <row r="559" ht="11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</row>
    <row r="560" ht="11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</row>
    <row r="561" ht="11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</row>
    <row r="562" ht="11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</row>
    <row r="563" ht="11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</row>
    <row r="564" ht="11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</row>
    <row r="565" ht="11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</row>
    <row r="566" ht="11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</row>
    <row r="567" ht="11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</row>
    <row r="568" ht="11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</row>
    <row r="569" ht="11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</row>
    <row r="570" ht="11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</row>
    <row r="571" ht="11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</row>
    <row r="572" ht="11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</row>
    <row r="573" ht="11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</row>
    <row r="574" ht="11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</row>
    <row r="575" ht="11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</row>
    <row r="576" ht="11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</row>
    <row r="577" ht="11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</row>
    <row r="578" ht="11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</row>
    <row r="579" ht="11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</row>
    <row r="580" ht="11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</row>
    <row r="581" ht="11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</row>
    <row r="582" ht="11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</row>
    <row r="583" ht="11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</row>
    <row r="584" ht="11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</row>
    <row r="585" ht="11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</row>
    <row r="586" ht="11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</row>
    <row r="587" ht="11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</row>
    <row r="588" ht="11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</row>
    <row r="589" ht="11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</row>
    <row r="590" ht="11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</row>
    <row r="591" ht="11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</row>
    <row r="592" ht="11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</row>
    <row r="593" ht="11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</row>
    <row r="594" ht="11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</row>
    <row r="595" ht="11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</row>
    <row r="596" ht="11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</row>
    <row r="597" ht="11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</row>
    <row r="598" ht="11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</row>
    <row r="599" ht="11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</row>
    <row r="600" ht="11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</row>
    <row r="601" ht="11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</row>
    <row r="602" ht="11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</row>
    <row r="603" ht="11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</row>
    <row r="604" ht="11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</row>
    <row r="605" ht="11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</row>
    <row r="606" ht="11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</row>
    <row r="607" ht="11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</row>
    <row r="608" ht="11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</row>
    <row r="609" ht="11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</row>
    <row r="610" ht="11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</row>
    <row r="611" ht="11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</row>
    <row r="612" ht="11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</row>
    <row r="613" ht="11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</row>
    <row r="614" ht="11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</row>
    <row r="615" ht="11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</row>
    <row r="616" ht="11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</row>
    <row r="617" ht="11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</row>
    <row r="618" ht="11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</row>
    <row r="619" ht="11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</row>
    <row r="620" ht="11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</row>
    <row r="621" ht="11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</row>
    <row r="622" ht="11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</row>
    <row r="623" ht="11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</row>
    <row r="624" ht="11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</row>
    <row r="625" ht="11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</row>
    <row r="626" ht="11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</row>
    <row r="627" ht="11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</row>
    <row r="628" ht="11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</row>
    <row r="629" ht="11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</row>
    <row r="630" ht="11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</row>
    <row r="631" ht="11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</row>
    <row r="632" ht="11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</row>
    <row r="633" ht="11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</row>
    <row r="634" ht="11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</row>
    <row r="635" ht="11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</row>
    <row r="636" ht="11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</row>
    <row r="637" ht="11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</row>
    <row r="638" ht="11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</row>
    <row r="639" ht="11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</row>
    <row r="640" ht="11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</row>
    <row r="641" ht="11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</row>
    <row r="642" ht="11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</row>
    <row r="643" ht="11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</row>
    <row r="644" ht="11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</row>
    <row r="645" ht="11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</row>
    <row r="646" ht="11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</row>
    <row r="647" ht="11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</row>
    <row r="648" ht="11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</row>
    <row r="649" ht="11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</row>
    <row r="650" ht="11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</row>
    <row r="651" ht="11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</row>
    <row r="652" ht="11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</row>
    <row r="653" ht="11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</row>
    <row r="654" ht="11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</row>
    <row r="655" ht="11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</row>
    <row r="656" ht="11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</row>
    <row r="657" ht="11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</row>
    <row r="658" ht="11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</row>
    <row r="659" ht="11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</row>
    <row r="660" ht="11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</row>
    <row r="661" ht="11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</row>
    <row r="662" ht="11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</row>
    <row r="663" ht="11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</row>
    <row r="664" ht="11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</row>
    <row r="665" ht="11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</row>
    <row r="666" ht="11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</row>
    <row r="667" ht="11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</row>
    <row r="668" ht="11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</row>
    <row r="669" ht="11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</row>
    <row r="670" ht="11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</row>
    <row r="671" ht="11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</row>
    <row r="672" ht="11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</row>
    <row r="673" ht="11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</row>
    <row r="674" ht="11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</row>
    <row r="675" ht="11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</row>
    <row r="676" ht="11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</row>
    <row r="677" ht="11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</row>
    <row r="678" ht="11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</row>
    <row r="679" ht="11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</row>
    <row r="680" ht="11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</row>
    <row r="681" ht="11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</row>
    <row r="682" ht="11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</row>
    <row r="683" ht="11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</row>
    <row r="684" ht="11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</row>
    <row r="685" ht="11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</row>
    <row r="686" ht="11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</row>
    <row r="687" ht="11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</row>
    <row r="688" ht="11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</row>
    <row r="689" ht="11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</row>
    <row r="690" ht="11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</row>
    <row r="691" ht="11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</row>
    <row r="692" ht="11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</row>
    <row r="693" ht="11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</row>
    <row r="694" ht="11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</row>
    <row r="695" ht="11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</row>
    <row r="696" ht="11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</row>
    <row r="697" ht="11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</row>
    <row r="698" ht="11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</row>
    <row r="699" ht="11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</row>
    <row r="700" ht="11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</row>
    <row r="701" ht="11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</row>
    <row r="702" ht="11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</row>
    <row r="703" ht="11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</row>
    <row r="704" ht="11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</row>
    <row r="705" ht="11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</row>
    <row r="706" ht="11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</row>
    <row r="707" ht="11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</row>
    <row r="708" ht="11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</row>
    <row r="709" ht="11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</row>
    <row r="710" ht="11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</row>
    <row r="711" ht="11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</row>
    <row r="712" ht="11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</row>
    <row r="713" ht="11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</row>
    <row r="714" ht="11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</row>
    <row r="715" ht="11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</row>
    <row r="716" ht="11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</row>
    <row r="717" ht="11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</row>
    <row r="718" ht="11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</row>
    <row r="719" ht="11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</row>
    <row r="720" ht="11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</row>
    <row r="721" ht="11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</row>
    <row r="722" ht="11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</row>
    <row r="723" ht="11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</row>
    <row r="724" ht="11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</row>
    <row r="725" ht="11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</row>
    <row r="726" ht="11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</row>
    <row r="727" ht="11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</row>
    <row r="728" ht="11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</row>
    <row r="729" ht="11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</row>
    <row r="730" ht="11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</row>
    <row r="731" ht="11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</row>
    <row r="732" ht="11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</row>
    <row r="733" ht="11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</row>
    <row r="734" ht="11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</row>
    <row r="735" ht="11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</row>
    <row r="736" ht="11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</row>
    <row r="737" ht="11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</row>
    <row r="738" ht="11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</row>
    <row r="739" ht="11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</row>
    <row r="740" ht="11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</row>
    <row r="741" ht="11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</row>
    <row r="742" ht="11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</row>
    <row r="743" ht="11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</row>
    <row r="744" ht="11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</row>
    <row r="745" ht="11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</row>
    <row r="746" ht="11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</row>
    <row r="747" ht="11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</row>
    <row r="748" ht="11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</row>
    <row r="749" ht="11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</row>
    <row r="750" ht="11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</row>
    <row r="751" ht="11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</row>
    <row r="752" ht="11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</row>
    <row r="753" ht="11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</row>
    <row r="754" ht="11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</row>
    <row r="755" ht="11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</row>
    <row r="756" ht="11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</row>
    <row r="757" ht="11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</row>
    <row r="758" ht="11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</row>
    <row r="759" ht="11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</row>
    <row r="760" ht="11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</row>
    <row r="761" ht="11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</row>
    <row r="762" ht="11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</row>
    <row r="763" ht="11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</row>
    <row r="764" ht="11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</row>
    <row r="765" ht="11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</row>
    <row r="766" ht="11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</row>
    <row r="767" ht="11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</row>
    <row r="768" ht="11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</row>
    <row r="769" ht="11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</row>
    <row r="770" ht="11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</row>
    <row r="771" ht="11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</row>
    <row r="772" ht="11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</row>
    <row r="773" ht="11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</row>
    <row r="774" ht="11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</row>
    <row r="775" ht="11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</row>
    <row r="776" ht="11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</row>
    <row r="777" ht="11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</row>
    <row r="778" ht="11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</row>
    <row r="779" ht="11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</row>
    <row r="780" ht="11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</row>
    <row r="781" ht="11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</row>
    <row r="782" ht="11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</row>
    <row r="783" ht="11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</row>
    <row r="784" ht="11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</row>
    <row r="785" ht="11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</row>
    <row r="786" ht="11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</row>
    <row r="787" ht="11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</row>
    <row r="788" ht="11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</row>
    <row r="789" ht="11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</row>
    <row r="790" ht="11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</row>
    <row r="791" ht="11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</row>
    <row r="792" ht="11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</row>
    <row r="793" ht="11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</row>
    <row r="794" ht="11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</row>
    <row r="795" ht="11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</row>
    <row r="796" ht="11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</row>
    <row r="797" ht="11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</row>
    <row r="798" ht="11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</row>
    <row r="799" ht="11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</row>
    <row r="800" ht="11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</row>
    <row r="801" ht="11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</row>
    <row r="802" ht="11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</row>
    <row r="803" ht="11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</row>
    <row r="804" ht="11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</row>
    <row r="805" ht="11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</row>
    <row r="806" ht="11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</row>
    <row r="807" ht="11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</row>
    <row r="808" ht="11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</row>
    <row r="809" ht="11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</row>
    <row r="810" ht="11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</row>
    <row r="811" ht="11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</row>
    <row r="812" ht="11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</row>
    <row r="813" ht="11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</row>
    <row r="814" ht="11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</row>
    <row r="815" ht="11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</row>
    <row r="816" ht="11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</row>
    <row r="817" ht="11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</row>
    <row r="818" ht="11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</row>
    <row r="819" ht="11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</row>
    <row r="820" ht="11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</row>
    <row r="821" ht="11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</row>
    <row r="822" ht="11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</row>
    <row r="823" ht="11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</row>
    <row r="824" ht="11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</row>
    <row r="825" ht="11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</row>
    <row r="826" ht="11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</row>
    <row r="827" ht="11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</row>
    <row r="828" ht="11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</row>
    <row r="829" ht="11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</row>
    <row r="830" ht="11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</row>
    <row r="831" ht="11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</row>
    <row r="832" ht="11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</row>
    <row r="833" ht="11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</row>
    <row r="834" ht="11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</row>
    <row r="835" ht="11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</row>
    <row r="836" ht="11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</row>
    <row r="837" ht="11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</row>
    <row r="838" ht="11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</row>
    <row r="839" ht="11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</row>
    <row r="840" ht="11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</row>
    <row r="841" ht="11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</row>
    <row r="842" ht="11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</row>
    <row r="843" ht="11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</row>
    <row r="844" ht="11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</row>
    <row r="845" ht="11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</row>
    <row r="846" ht="11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</row>
    <row r="847" ht="11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</row>
    <row r="848" ht="11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</row>
    <row r="849" ht="11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</row>
    <row r="850" ht="11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</row>
    <row r="851" ht="11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</row>
    <row r="852" ht="11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</row>
    <row r="853" ht="11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</row>
    <row r="854" ht="11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</row>
    <row r="855" ht="11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</row>
    <row r="856" ht="11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</row>
    <row r="857" ht="11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</row>
    <row r="858" ht="11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</row>
    <row r="859" ht="11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</row>
    <row r="860" ht="11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</row>
    <row r="861" ht="11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</row>
    <row r="862" ht="11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</row>
    <row r="863" ht="11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</row>
    <row r="864" ht="11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</row>
    <row r="865" ht="11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</row>
    <row r="866" ht="11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</row>
    <row r="867" ht="11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</row>
    <row r="868" ht="11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</row>
    <row r="869" ht="11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</row>
    <row r="870" ht="11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</row>
    <row r="871" ht="11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</row>
    <row r="872" ht="11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</row>
    <row r="873" ht="11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</row>
    <row r="874" ht="11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</row>
    <row r="875" ht="11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</row>
    <row r="876" ht="11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</row>
    <row r="877" ht="11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</row>
    <row r="878" ht="11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</row>
    <row r="879" ht="11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</row>
    <row r="880" ht="11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</row>
    <row r="881" ht="11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</row>
    <row r="882" ht="11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</row>
    <row r="883" ht="11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</row>
    <row r="884" ht="11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</row>
    <row r="885" ht="11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</row>
    <row r="886" ht="11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</row>
    <row r="887" ht="11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</row>
    <row r="888" ht="11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</row>
    <row r="889" ht="11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</row>
    <row r="890" ht="11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</row>
    <row r="891" ht="11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</row>
    <row r="892" ht="11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</row>
    <row r="893" ht="11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</row>
    <row r="894" ht="11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</row>
    <row r="895" ht="11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</row>
    <row r="896" ht="11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</row>
    <row r="897" ht="11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</row>
    <row r="898" ht="11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</row>
    <row r="899" ht="11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</row>
    <row r="900" ht="11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</row>
    <row r="901" ht="11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</row>
    <row r="902" ht="11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</row>
    <row r="903" ht="11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</row>
    <row r="904" ht="11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</row>
    <row r="905" ht="11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</row>
    <row r="906" ht="11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</row>
    <row r="907" ht="11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</row>
    <row r="908" ht="11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</row>
    <row r="909" ht="11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</row>
    <row r="910" ht="11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</row>
    <row r="911" ht="11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</row>
    <row r="912" ht="11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</row>
    <row r="913" ht="11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</row>
    <row r="914" ht="11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</row>
    <row r="915" ht="11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</row>
    <row r="916" ht="11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</row>
    <row r="917" ht="11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</row>
    <row r="918" ht="11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</row>
    <row r="919" ht="11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</row>
    <row r="920" ht="11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</row>
    <row r="921" ht="11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</row>
    <row r="922" ht="11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</row>
    <row r="923" ht="11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</row>
    <row r="924" ht="11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</row>
    <row r="925" ht="11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</row>
    <row r="926" ht="11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</row>
    <row r="927" ht="11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</row>
    <row r="928" ht="11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</row>
    <row r="929" ht="11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</row>
    <row r="930" ht="11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</row>
    <row r="931" ht="11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</row>
    <row r="932" ht="11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</row>
    <row r="933" ht="11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</row>
    <row r="934" ht="11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</row>
    <row r="935" ht="11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</row>
    <row r="936" ht="11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</row>
    <row r="937" ht="11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</row>
    <row r="938" ht="11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</row>
    <row r="939" ht="11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</row>
    <row r="940" ht="11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</row>
    <row r="941" ht="11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</row>
    <row r="942" ht="11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</row>
    <row r="943" ht="11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</row>
    <row r="944" ht="11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</row>
    <row r="945" ht="11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</row>
    <row r="946" ht="11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</row>
    <row r="947" ht="11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</row>
    <row r="948" ht="11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</row>
    <row r="949" ht="11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</row>
    <row r="950" ht="11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</row>
    <row r="951" ht="11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</row>
    <row r="952" ht="11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</row>
    <row r="953" ht="11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</row>
    <row r="954" ht="11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</row>
    <row r="955" ht="11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</row>
    <row r="956" ht="11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</row>
    <row r="957" ht="11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</row>
    <row r="958" ht="11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</row>
    <row r="959" ht="11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</row>
    <row r="960" ht="11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</row>
    <row r="961" ht="11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</row>
    <row r="962" ht="11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</row>
    <row r="963" ht="11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</row>
    <row r="964" ht="11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</row>
    <row r="965" ht="11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</row>
    <row r="966" ht="11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</row>
    <row r="967" ht="11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</row>
    <row r="968" ht="11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</row>
    <row r="969" ht="11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</row>
    <row r="970" ht="11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</row>
    <row r="971" ht="11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</row>
    <row r="972" ht="11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</row>
    <row r="973" ht="11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</row>
    <row r="974" ht="11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</row>
    <row r="975" ht="11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</row>
    <row r="976" ht="11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</row>
    <row r="977" ht="11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</row>
    <row r="978" ht="11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</row>
    <row r="979" ht="11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</row>
    <row r="980" ht="11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</row>
    <row r="981" ht="11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</row>
    <row r="982" ht="11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</row>
    <row r="983" ht="11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</row>
    <row r="984" ht="11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</row>
    <row r="985" ht="11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</row>
    <row r="986" ht="11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</row>
    <row r="987" ht="11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</row>
    <row r="988" ht="11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</row>
    <row r="989" ht="11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</row>
    <row r="990" ht="11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</row>
    <row r="991" ht="11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</row>
    <row r="992" ht="11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</row>
    <row r="993" ht="11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</row>
    <row r="994" ht="11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</row>
    <row r="995" ht="11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</row>
    <row r="996" ht="11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</row>
    <row r="997" ht="11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</row>
    <row r="998" ht="11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</row>
    <row r="999" ht="11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</row>
    <row r="1000" ht="11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</row>
  </sheetData>
  <mergeCells count="99">
    <mergeCell ref="P9:Q9"/>
    <mergeCell ref="R9:S9"/>
    <mergeCell ref="T9:W9"/>
    <mergeCell ref="AV9:BC9"/>
    <mergeCell ref="P10:Q10"/>
    <mergeCell ref="R10:S10"/>
    <mergeCell ref="T10:W10"/>
    <mergeCell ref="AV10:BC10"/>
    <mergeCell ref="N13:BB13"/>
    <mergeCell ref="AL14:AR14"/>
    <mergeCell ref="BA14:BB14"/>
    <mergeCell ref="Q16:BB16"/>
    <mergeCell ref="K17:AC17"/>
    <mergeCell ref="AL17:BB17"/>
    <mergeCell ref="Q18:BB18"/>
    <mergeCell ref="N19:BB19"/>
    <mergeCell ref="C20:BB20"/>
    <mergeCell ref="J21:AD21"/>
    <mergeCell ref="AK21:BB21"/>
    <mergeCell ref="M22:BB22"/>
    <mergeCell ref="C26:BC26"/>
    <mergeCell ref="AP28:BB28"/>
    <mergeCell ref="AF34:AM34"/>
    <mergeCell ref="AR34:BB34"/>
    <mergeCell ref="AF36:AM36"/>
    <mergeCell ref="AR36:BB36"/>
    <mergeCell ref="C40:BC40"/>
    <mergeCell ref="AY42:BB42"/>
    <mergeCell ref="AN47:AV47"/>
    <mergeCell ref="AW47:BC47"/>
    <mergeCell ref="AN48:AV48"/>
    <mergeCell ref="AW48:BC48"/>
    <mergeCell ref="AO51:BB51"/>
    <mergeCell ref="AF52:BB52"/>
    <mergeCell ref="AI42:AO42"/>
    <mergeCell ref="B46:P46"/>
    <mergeCell ref="Q46:AA46"/>
    <mergeCell ref="AB46:AM46"/>
    <mergeCell ref="AN46:AV46"/>
    <mergeCell ref="AW46:BC46"/>
    <mergeCell ref="B47:P47"/>
    <mergeCell ref="Q47:AA47"/>
    <mergeCell ref="AB47:AM47"/>
    <mergeCell ref="B48:P48"/>
    <mergeCell ref="Q48:AA48"/>
    <mergeCell ref="AB48:AM48"/>
    <mergeCell ref="L51:AC51"/>
    <mergeCell ref="K52:U52"/>
    <mergeCell ref="AI119:BB119"/>
    <mergeCell ref="AL120:AQ120"/>
    <mergeCell ref="AR120:AW120"/>
    <mergeCell ref="AX120:BC120"/>
    <mergeCell ref="C113:BB113"/>
    <mergeCell ref="C114:BB114"/>
    <mergeCell ref="AL116:AQ116"/>
    <mergeCell ref="AR116:AW116"/>
    <mergeCell ref="AX116:BC116"/>
    <mergeCell ref="S118:BB118"/>
    <mergeCell ref="H119:AB119"/>
    <mergeCell ref="C54:BC54"/>
    <mergeCell ref="B59:BC59"/>
    <mergeCell ref="B60:BC83"/>
    <mergeCell ref="C85:BB94"/>
    <mergeCell ref="C98:BB99"/>
    <mergeCell ref="K100:AA101"/>
    <mergeCell ref="AB100:AG101"/>
    <mergeCell ref="AT100:AY101"/>
    <mergeCell ref="AH103:AM103"/>
    <mergeCell ref="AN103:AS103"/>
    <mergeCell ref="AH100:AM101"/>
    <mergeCell ref="AN100:AS101"/>
    <mergeCell ref="AB102:AG102"/>
    <mergeCell ref="AH102:AM102"/>
    <mergeCell ref="AN102:AS102"/>
    <mergeCell ref="AT102:AY102"/>
    <mergeCell ref="AT103:AY103"/>
    <mergeCell ref="AN105:AS105"/>
    <mergeCell ref="AT105:AY105"/>
    <mergeCell ref="AB103:AG103"/>
    <mergeCell ref="AB104:AG104"/>
    <mergeCell ref="AH104:AM104"/>
    <mergeCell ref="AN104:AS104"/>
    <mergeCell ref="AT104:AY104"/>
    <mergeCell ref="AB105:AG105"/>
    <mergeCell ref="AH105:AM105"/>
    <mergeCell ref="AB106:AG106"/>
    <mergeCell ref="AH106:AM106"/>
    <mergeCell ref="AN106:AS106"/>
    <mergeCell ref="AT106:AY106"/>
    <mergeCell ref="AH107:AM107"/>
    <mergeCell ref="AN107:AS107"/>
    <mergeCell ref="AT107:AY107"/>
    <mergeCell ref="AB107:AG107"/>
    <mergeCell ref="AB108:AG108"/>
    <mergeCell ref="AH108:AM108"/>
    <mergeCell ref="AN108:AS108"/>
    <mergeCell ref="AT108:AY108"/>
    <mergeCell ref="S110:X110"/>
    <mergeCell ref="AM110:AN110"/>
  </mergeCells>
  <conditionalFormatting sqref="AF34:AM34">
    <cfRule type="expression" dxfId="0" priority="1" stopIfTrue="1">
      <formula>$S$34=FALSE</formula>
    </cfRule>
  </conditionalFormatting>
  <conditionalFormatting sqref="AF36:AM36">
    <cfRule type="expression" dxfId="0" priority="2" stopIfTrue="1">
      <formula>$S$34=FALSE</formula>
    </cfRule>
  </conditionalFormatting>
  <conditionalFormatting sqref="AR34">
    <cfRule type="expression" dxfId="0" priority="3" stopIfTrue="1">
      <formula>$S$34=FALSE</formula>
    </cfRule>
  </conditionalFormatting>
  <conditionalFormatting sqref="AR36">
    <cfRule type="expression" dxfId="0" priority="4" stopIfTrue="1">
      <formula>$S$34=FALSE</formula>
    </cfRule>
  </conditionalFormatting>
  <printOptions horizontalCentered="1" verticalCentered="1"/>
  <pageMargins bottom="0.748031496062992" footer="0.0" header="0.0" left="0.708661417322835" right="0.708661417322835" top="0.748031496062992"/>
  <pageSetup orientation="portrait"/>
  <rowBreaks count="1" manualBreakCount="1">
    <brk id="57" man="1"/>
  </rowBreaks>
  <drawing r:id="rId1"/>
</worksheet>
</file>